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ra\Documents\MSBA2024 at UH\MARK 7380\week 9\"/>
    </mc:Choice>
  </mc:AlternateContent>
  <xr:revisionPtr revIDLastSave="0" documentId="13_ncr:1_{18E74B6E-F1EE-4407-8527-1DD1E36E31A1}" xr6:coauthVersionLast="47" xr6:coauthVersionMax="47" xr10:uidLastSave="{00000000-0000-0000-0000-000000000000}"/>
  <bookViews>
    <workbookView xWindow="28680" yWindow="1695" windowWidth="29040" windowHeight="16440" xr2:uid="{00000000-000D-0000-FFFF-FFFF00000000}"/>
  </bookViews>
  <sheets>
    <sheet name="Optimization" sheetId="5" r:id="rId1"/>
    <sheet name="Sheet2" sheetId="6" r:id="rId2"/>
  </sheets>
  <definedNames>
    <definedName name="solver_adj" localSheetId="0" hidden="1">Optimization!$F$2:$H$51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Optimization!$I$2:$I$51</definedName>
    <definedName name="solver_lhs2" localSheetId="0" hidden="1">Optimization!$M$52:$O$52</definedName>
    <definedName name="solver_lhs3" localSheetId="0" hidden="1">Optimization!$M$52:$O$52</definedName>
    <definedName name="solver_lhs4" localSheetId="0" hidden="1">Optimization!$M$52:$O$52</definedName>
    <definedName name="solver_lhs5" localSheetId="0" hidden="1">Optimization!$M$52:$O$52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Optimization!$Q$54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hs1" localSheetId="0" hidden="1">1</definedName>
    <definedName name="solver_rhs2" localSheetId="0" hidden="1">Optimization!$C$53</definedName>
    <definedName name="solver_rhs3" localSheetId="0" hidden="1">Optimization!$C$53</definedName>
    <definedName name="solver_rhs4" localSheetId="0" hidden="1">Optimization!$C$53</definedName>
    <definedName name="solver_rhs5" localSheetId="0" hidden="1">Optimization!$C$53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5" l="1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2" i="5"/>
  <c r="S70" i="5"/>
  <c r="S66" i="5"/>
  <c r="T70" i="5" l="1"/>
  <c r="U70" i="5" s="1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2" i="5"/>
  <c r="M2" i="5" l="1"/>
  <c r="M3" i="5"/>
  <c r="N3" i="5"/>
  <c r="O3" i="5"/>
  <c r="M4" i="5"/>
  <c r="N4" i="5"/>
  <c r="O4" i="5"/>
  <c r="M5" i="5"/>
  <c r="N5" i="5"/>
  <c r="O5" i="5"/>
  <c r="M6" i="5"/>
  <c r="N6" i="5"/>
  <c r="O6" i="5"/>
  <c r="M7" i="5"/>
  <c r="N7" i="5"/>
  <c r="O7" i="5"/>
  <c r="M8" i="5"/>
  <c r="N8" i="5"/>
  <c r="O8" i="5"/>
  <c r="M9" i="5"/>
  <c r="N9" i="5"/>
  <c r="O9" i="5"/>
  <c r="M10" i="5"/>
  <c r="N10" i="5"/>
  <c r="O10" i="5"/>
  <c r="M11" i="5"/>
  <c r="N11" i="5"/>
  <c r="O11" i="5"/>
  <c r="M12" i="5"/>
  <c r="N12" i="5"/>
  <c r="O12" i="5"/>
  <c r="M13" i="5"/>
  <c r="N13" i="5"/>
  <c r="O13" i="5"/>
  <c r="M14" i="5"/>
  <c r="N14" i="5"/>
  <c r="O14" i="5"/>
  <c r="M15" i="5"/>
  <c r="N15" i="5"/>
  <c r="O15" i="5"/>
  <c r="M16" i="5"/>
  <c r="N16" i="5"/>
  <c r="O16" i="5"/>
  <c r="M17" i="5"/>
  <c r="N17" i="5"/>
  <c r="O17" i="5"/>
  <c r="M18" i="5"/>
  <c r="N18" i="5"/>
  <c r="O18" i="5"/>
  <c r="M19" i="5"/>
  <c r="N19" i="5"/>
  <c r="O19" i="5"/>
  <c r="M20" i="5"/>
  <c r="N20" i="5"/>
  <c r="O20" i="5"/>
  <c r="M21" i="5"/>
  <c r="N21" i="5"/>
  <c r="O21" i="5"/>
  <c r="M22" i="5"/>
  <c r="N22" i="5"/>
  <c r="O22" i="5"/>
  <c r="M23" i="5"/>
  <c r="N23" i="5"/>
  <c r="O23" i="5"/>
  <c r="M24" i="5"/>
  <c r="N24" i="5"/>
  <c r="O24" i="5"/>
  <c r="M25" i="5"/>
  <c r="N25" i="5"/>
  <c r="O25" i="5"/>
  <c r="M26" i="5"/>
  <c r="N26" i="5"/>
  <c r="O26" i="5"/>
  <c r="M27" i="5"/>
  <c r="N27" i="5"/>
  <c r="O27" i="5"/>
  <c r="M28" i="5"/>
  <c r="N28" i="5"/>
  <c r="O28" i="5"/>
  <c r="M29" i="5"/>
  <c r="N29" i="5"/>
  <c r="O29" i="5"/>
  <c r="M30" i="5"/>
  <c r="N30" i="5"/>
  <c r="O30" i="5"/>
  <c r="M31" i="5"/>
  <c r="N31" i="5"/>
  <c r="O31" i="5"/>
  <c r="M32" i="5"/>
  <c r="N32" i="5"/>
  <c r="O32" i="5"/>
  <c r="M33" i="5"/>
  <c r="N33" i="5"/>
  <c r="O33" i="5"/>
  <c r="M34" i="5"/>
  <c r="N34" i="5"/>
  <c r="O34" i="5"/>
  <c r="M35" i="5"/>
  <c r="N35" i="5"/>
  <c r="O35" i="5"/>
  <c r="M36" i="5"/>
  <c r="N36" i="5"/>
  <c r="O36" i="5"/>
  <c r="M37" i="5"/>
  <c r="N37" i="5"/>
  <c r="O37" i="5"/>
  <c r="M38" i="5"/>
  <c r="N38" i="5"/>
  <c r="O38" i="5"/>
  <c r="M39" i="5"/>
  <c r="N39" i="5"/>
  <c r="O39" i="5"/>
  <c r="M40" i="5"/>
  <c r="N40" i="5"/>
  <c r="O40" i="5"/>
  <c r="M41" i="5"/>
  <c r="N41" i="5"/>
  <c r="O41" i="5"/>
  <c r="M42" i="5"/>
  <c r="N42" i="5"/>
  <c r="O42" i="5"/>
  <c r="M43" i="5"/>
  <c r="N43" i="5"/>
  <c r="O43" i="5"/>
  <c r="M44" i="5"/>
  <c r="N44" i="5"/>
  <c r="O44" i="5"/>
  <c r="M45" i="5"/>
  <c r="N45" i="5"/>
  <c r="O45" i="5"/>
  <c r="M46" i="5"/>
  <c r="N46" i="5"/>
  <c r="O46" i="5"/>
  <c r="M47" i="5"/>
  <c r="N47" i="5"/>
  <c r="O47" i="5"/>
  <c r="M48" i="5"/>
  <c r="N48" i="5"/>
  <c r="O48" i="5"/>
  <c r="M49" i="5"/>
  <c r="N49" i="5"/>
  <c r="O49" i="5"/>
  <c r="M50" i="5"/>
  <c r="N50" i="5"/>
  <c r="O50" i="5"/>
  <c r="M51" i="5"/>
  <c r="N51" i="5"/>
  <c r="O51" i="5"/>
  <c r="O2" i="5"/>
  <c r="N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2" i="5"/>
  <c r="D64" i="5"/>
  <c r="E64" i="5"/>
  <c r="D65" i="5"/>
  <c r="E65" i="5"/>
  <c r="E63" i="5"/>
  <c r="D63" i="5"/>
  <c r="C52" i="5"/>
  <c r="C53" i="5" s="1"/>
  <c r="J35" i="5" l="1"/>
  <c r="P35" i="5" s="1"/>
  <c r="J49" i="5"/>
  <c r="P49" i="5" s="1"/>
  <c r="J47" i="5"/>
  <c r="P47" i="5" s="1"/>
  <c r="J46" i="5"/>
  <c r="P46" i="5" s="1"/>
  <c r="J45" i="5"/>
  <c r="P45" i="5" s="1"/>
  <c r="L4" i="5"/>
  <c r="R4" i="5" s="1"/>
  <c r="L9" i="5"/>
  <c r="R9" i="5" s="1"/>
  <c r="L16" i="5"/>
  <c r="R16" i="5" s="1"/>
  <c r="K50" i="5"/>
  <c r="Q50" i="5" s="1"/>
  <c r="L21" i="5"/>
  <c r="R21" i="5" s="1"/>
  <c r="L22" i="5"/>
  <c r="R22" i="5" s="1"/>
  <c r="L33" i="5"/>
  <c r="R33" i="5" s="1"/>
  <c r="L34" i="5"/>
  <c r="R34" i="5" s="1"/>
  <c r="L39" i="5"/>
  <c r="R39" i="5" s="1"/>
  <c r="L40" i="5"/>
  <c r="R40" i="5" s="1"/>
  <c r="J13" i="5"/>
  <c r="P13" i="5" s="1"/>
  <c r="L3" i="5"/>
  <c r="R3" i="5" s="1"/>
  <c r="K15" i="5"/>
  <c r="Q15" i="5" s="1"/>
  <c r="K2" i="5"/>
  <c r="Q2" i="5" s="1"/>
  <c r="K16" i="5"/>
  <c r="Q16" i="5" s="1"/>
  <c r="K3" i="5"/>
  <c r="Q3" i="5" s="1"/>
  <c r="K20" i="5"/>
  <c r="Q20" i="5" s="1"/>
  <c r="K4" i="5"/>
  <c r="Q4" i="5" s="1"/>
  <c r="K21" i="5"/>
  <c r="Q21" i="5" s="1"/>
  <c r="K39" i="5"/>
  <c r="Q39" i="5" s="1"/>
  <c r="K8" i="5"/>
  <c r="Q8" i="5" s="1"/>
  <c r="K22" i="5"/>
  <c r="Q22" i="5" s="1"/>
  <c r="K40" i="5"/>
  <c r="Q40" i="5" s="1"/>
  <c r="J25" i="5"/>
  <c r="P25" i="5" s="1"/>
  <c r="K9" i="5"/>
  <c r="Q9" i="5" s="1"/>
  <c r="J23" i="5"/>
  <c r="P23" i="5" s="1"/>
  <c r="K26" i="5"/>
  <c r="Q26" i="5" s="1"/>
  <c r="K45" i="5"/>
  <c r="Q45" i="5" s="1"/>
  <c r="J22" i="5"/>
  <c r="P22" i="5" s="1"/>
  <c r="K10" i="5"/>
  <c r="Q10" i="5" s="1"/>
  <c r="K27" i="5"/>
  <c r="Q27" i="5" s="1"/>
  <c r="K46" i="5"/>
  <c r="Q46" i="5" s="1"/>
  <c r="L45" i="5"/>
  <c r="R45" i="5" s="1"/>
  <c r="J21" i="5"/>
  <c r="P21" i="5" s="1"/>
  <c r="L10" i="5"/>
  <c r="R10" i="5" s="1"/>
  <c r="K28" i="5"/>
  <c r="Q28" i="5" s="1"/>
  <c r="K51" i="5"/>
  <c r="Q51" i="5" s="1"/>
  <c r="J20" i="5"/>
  <c r="P20" i="5" s="1"/>
  <c r="K14" i="5"/>
  <c r="Q14" i="5" s="1"/>
  <c r="K32" i="5"/>
  <c r="Q32" i="5" s="1"/>
  <c r="L51" i="5"/>
  <c r="R51" i="5" s="1"/>
  <c r="K33" i="5"/>
  <c r="Q33" i="5" s="1"/>
  <c r="K34" i="5"/>
  <c r="Q34" i="5" s="1"/>
  <c r="J9" i="5"/>
  <c r="P9" i="5" s="1"/>
  <c r="J44" i="5"/>
  <c r="P44" i="5" s="1"/>
  <c r="J11" i="5"/>
  <c r="P11" i="5" s="1"/>
  <c r="L27" i="5"/>
  <c r="R27" i="5" s="1"/>
  <c r="J12" i="5"/>
  <c r="P12" i="5" s="1"/>
  <c r="J24" i="5"/>
  <c r="P24" i="5" s="1"/>
  <c r="J36" i="5"/>
  <c r="P36" i="5" s="1"/>
  <c r="J48" i="5"/>
  <c r="P48" i="5" s="1"/>
  <c r="J2" i="5"/>
  <c r="P2" i="5" s="1"/>
  <c r="J14" i="5"/>
  <c r="P14" i="5" s="1"/>
  <c r="J26" i="5"/>
  <c r="P26" i="5" s="1"/>
  <c r="J38" i="5"/>
  <c r="P38" i="5" s="1"/>
  <c r="J50" i="5"/>
  <c r="P50" i="5" s="1"/>
  <c r="J7" i="5"/>
  <c r="P7" i="5" s="1"/>
  <c r="J19" i="5"/>
  <c r="P19" i="5" s="1"/>
  <c r="J31" i="5"/>
  <c r="P31" i="5" s="1"/>
  <c r="J43" i="5"/>
  <c r="P43" i="5" s="1"/>
  <c r="J3" i="5"/>
  <c r="P3" i="5" s="1"/>
  <c r="J15" i="5"/>
  <c r="P15" i="5" s="1"/>
  <c r="J27" i="5"/>
  <c r="P27" i="5" s="1"/>
  <c r="J39" i="5"/>
  <c r="P39" i="5" s="1"/>
  <c r="J51" i="5"/>
  <c r="P51" i="5" s="1"/>
  <c r="J4" i="5"/>
  <c r="P4" i="5" s="1"/>
  <c r="J16" i="5"/>
  <c r="P16" i="5" s="1"/>
  <c r="J28" i="5"/>
  <c r="P28" i="5" s="1"/>
  <c r="J40" i="5"/>
  <c r="P40" i="5" s="1"/>
  <c r="J5" i="5"/>
  <c r="P5" i="5" s="1"/>
  <c r="J17" i="5"/>
  <c r="P17" i="5" s="1"/>
  <c r="J29" i="5"/>
  <c r="P29" i="5" s="1"/>
  <c r="J41" i="5"/>
  <c r="P41" i="5" s="1"/>
  <c r="J6" i="5"/>
  <c r="P6" i="5" s="1"/>
  <c r="J18" i="5"/>
  <c r="P18" i="5" s="1"/>
  <c r="J30" i="5"/>
  <c r="P30" i="5" s="1"/>
  <c r="J42" i="5"/>
  <c r="P42" i="5" s="1"/>
  <c r="J37" i="5"/>
  <c r="P37" i="5" s="1"/>
  <c r="J10" i="5"/>
  <c r="P10" i="5" s="1"/>
  <c r="L50" i="5"/>
  <c r="R50" i="5" s="1"/>
  <c r="L44" i="5"/>
  <c r="R44" i="5" s="1"/>
  <c r="L38" i="5"/>
  <c r="R38" i="5" s="1"/>
  <c r="L32" i="5"/>
  <c r="R32" i="5" s="1"/>
  <c r="L26" i="5"/>
  <c r="R26" i="5" s="1"/>
  <c r="L20" i="5"/>
  <c r="R20" i="5" s="1"/>
  <c r="L14" i="5"/>
  <c r="R14" i="5" s="1"/>
  <c r="L8" i="5"/>
  <c r="R8" i="5" s="1"/>
  <c r="L2" i="5"/>
  <c r="R2" i="5" s="1"/>
  <c r="L49" i="5"/>
  <c r="R49" i="5" s="1"/>
  <c r="L43" i="5"/>
  <c r="R43" i="5" s="1"/>
  <c r="L37" i="5"/>
  <c r="R37" i="5" s="1"/>
  <c r="L31" i="5"/>
  <c r="R31" i="5" s="1"/>
  <c r="L25" i="5"/>
  <c r="R25" i="5" s="1"/>
  <c r="L19" i="5"/>
  <c r="R19" i="5" s="1"/>
  <c r="L13" i="5"/>
  <c r="R13" i="5" s="1"/>
  <c r="L7" i="5"/>
  <c r="R7" i="5" s="1"/>
  <c r="L48" i="5"/>
  <c r="R48" i="5" s="1"/>
  <c r="L42" i="5"/>
  <c r="R42" i="5" s="1"/>
  <c r="L36" i="5"/>
  <c r="R36" i="5" s="1"/>
  <c r="L30" i="5"/>
  <c r="R30" i="5" s="1"/>
  <c r="L24" i="5"/>
  <c r="R24" i="5" s="1"/>
  <c r="L18" i="5"/>
  <c r="R18" i="5" s="1"/>
  <c r="L12" i="5"/>
  <c r="R12" i="5" s="1"/>
  <c r="L6" i="5"/>
  <c r="R6" i="5" s="1"/>
  <c r="L47" i="5"/>
  <c r="R47" i="5" s="1"/>
  <c r="L41" i="5"/>
  <c r="R41" i="5" s="1"/>
  <c r="L35" i="5"/>
  <c r="R35" i="5" s="1"/>
  <c r="L29" i="5"/>
  <c r="R29" i="5" s="1"/>
  <c r="L23" i="5"/>
  <c r="R23" i="5" s="1"/>
  <c r="L17" i="5"/>
  <c r="R17" i="5" s="1"/>
  <c r="L11" i="5"/>
  <c r="R11" i="5" s="1"/>
  <c r="L5" i="5"/>
  <c r="R5" i="5" s="1"/>
  <c r="J34" i="5"/>
  <c r="P34" i="5" s="1"/>
  <c r="J8" i="5"/>
  <c r="P8" i="5" s="1"/>
  <c r="J33" i="5"/>
  <c r="P33" i="5" s="1"/>
  <c r="L15" i="5"/>
  <c r="R15" i="5" s="1"/>
  <c r="L28" i="5"/>
  <c r="R28" i="5" s="1"/>
  <c r="J32" i="5"/>
  <c r="P32" i="5" s="1"/>
  <c r="L46" i="5"/>
  <c r="R46" i="5" s="1"/>
  <c r="K23" i="5"/>
  <c r="Q23" i="5" s="1"/>
  <c r="K6" i="5"/>
  <c r="Q6" i="5" s="1"/>
  <c r="K12" i="5"/>
  <c r="Q12" i="5" s="1"/>
  <c r="K18" i="5"/>
  <c r="Q18" i="5" s="1"/>
  <c r="K24" i="5"/>
  <c r="Q24" i="5" s="1"/>
  <c r="K30" i="5"/>
  <c r="Q30" i="5" s="1"/>
  <c r="K36" i="5"/>
  <c r="Q36" i="5" s="1"/>
  <c r="K42" i="5"/>
  <c r="Q42" i="5" s="1"/>
  <c r="K48" i="5"/>
  <c r="Q48" i="5" s="1"/>
  <c r="K7" i="5"/>
  <c r="Q7" i="5" s="1"/>
  <c r="K13" i="5"/>
  <c r="Q13" i="5" s="1"/>
  <c r="K19" i="5"/>
  <c r="Q19" i="5" s="1"/>
  <c r="K25" i="5"/>
  <c r="Q25" i="5" s="1"/>
  <c r="K31" i="5"/>
  <c r="Q31" i="5" s="1"/>
  <c r="K37" i="5"/>
  <c r="Q37" i="5" s="1"/>
  <c r="K43" i="5"/>
  <c r="Q43" i="5" s="1"/>
  <c r="K49" i="5"/>
  <c r="Q49" i="5" s="1"/>
  <c r="K5" i="5"/>
  <c r="Q5" i="5" s="1"/>
  <c r="K11" i="5"/>
  <c r="Q11" i="5" s="1"/>
  <c r="K17" i="5"/>
  <c r="Q17" i="5" s="1"/>
  <c r="K29" i="5"/>
  <c r="Q29" i="5" s="1"/>
  <c r="K35" i="5"/>
  <c r="Q35" i="5" s="1"/>
  <c r="K41" i="5"/>
  <c r="Q41" i="5" s="1"/>
  <c r="K47" i="5"/>
  <c r="Q47" i="5" s="1"/>
  <c r="K38" i="5"/>
  <c r="Q38" i="5" s="1"/>
  <c r="K44" i="5"/>
  <c r="Q44" i="5" s="1"/>
  <c r="O52" i="5"/>
  <c r="M52" i="5"/>
  <c r="N52" i="5"/>
  <c r="P52" i="5" l="1"/>
  <c r="R52" i="5"/>
  <c r="Q52" i="5"/>
  <c r="N54" i="5"/>
  <c r="Q54" i="5" l="1"/>
</calcChain>
</file>

<file path=xl/sharedStrings.xml><?xml version="1.0" encoding="utf-8"?>
<sst xmlns="http://schemas.openxmlformats.org/spreadsheetml/2006/main" count="106" uniqueCount="103">
  <si>
    <t xml:space="preserve">Name </t>
  </si>
  <si>
    <t>Dallam County</t>
  </si>
  <si>
    <t>Sherman County</t>
  </si>
  <si>
    <t>Hansford County</t>
  </si>
  <si>
    <t>Ochiltree County</t>
  </si>
  <si>
    <t>Lipscomb County</t>
  </si>
  <si>
    <t>Hartley County</t>
  </si>
  <si>
    <t>Moore County</t>
  </si>
  <si>
    <t>Hutchinson County</t>
  </si>
  <si>
    <t>Roberts County</t>
  </si>
  <si>
    <t>Hemphill County</t>
  </si>
  <si>
    <t>Oldham County</t>
  </si>
  <si>
    <t>Potter County</t>
  </si>
  <si>
    <t>Carson County</t>
  </si>
  <si>
    <t>Gray County</t>
  </si>
  <si>
    <t>Wheeler County</t>
  </si>
  <si>
    <t>Deaf Smith County</t>
  </si>
  <si>
    <t>Randall County</t>
  </si>
  <si>
    <t>Armstrong County</t>
  </si>
  <si>
    <t>Donley County</t>
  </si>
  <si>
    <t>Collingsworth County</t>
  </si>
  <si>
    <t>Parmer County</t>
  </si>
  <si>
    <t>Castro County</t>
  </si>
  <si>
    <t>Swisher County</t>
  </si>
  <si>
    <t>Briscoe County</t>
  </si>
  <si>
    <t>Hall County</t>
  </si>
  <si>
    <t>Childress County</t>
  </si>
  <si>
    <t>Bailey County</t>
  </si>
  <si>
    <t>Lamb County</t>
  </si>
  <si>
    <t>Hale County</t>
  </si>
  <si>
    <t>Floyd County</t>
  </si>
  <si>
    <t>Motley County</t>
  </si>
  <si>
    <t>Cottle County</t>
  </si>
  <si>
    <t>Foard County</t>
  </si>
  <si>
    <t>Hardeman County</t>
  </si>
  <si>
    <t>Wilbarger County</t>
  </si>
  <si>
    <t>Wichita County</t>
  </si>
  <si>
    <t>Cochran County</t>
  </si>
  <si>
    <t>Hockley County</t>
  </si>
  <si>
    <t>Lubbock County</t>
  </si>
  <si>
    <t>Crosby County</t>
  </si>
  <si>
    <t>Dickens County</t>
  </si>
  <si>
    <t>King County</t>
  </si>
  <si>
    <t>Knox County</t>
  </si>
  <si>
    <t>Baylor County</t>
  </si>
  <si>
    <t>Archer County</t>
  </si>
  <si>
    <t>Clay County</t>
  </si>
  <si>
    <t>Montague County</t>
  </si>
  <si>
    <t>Cooke County</t>
  </si>
  <si>
    <t>Grayson County</t>
  </si>
  <si>
    <t>Fannin County</t>
  </si>
  <si>
    <t>East Coord (cm)</t>
  </si>
  <si>
    <t>North Coord (cm)</t>
  </si>
  <si>
    <t>X1j*C1j*aj</t>
  </si>
  <si>
    <t>X2j*C2j*aj</t>
  </si>
  <si>
    <t>X3j*C3j*aj</t>
  </si>
  <si>
    <t>Total Cost</t>
  </si>
  <si>
    <t>X1j*aj</t>
  </si>
  <si>
    <t>X2j*aj</t>
  </si>
  <si>
    <t>X3j*aj</t>
  </si>
  <si>
    <t>Remark 1:</t>
  </si>
  <si>
    <t>The territory centers or HQs are counties 7, 19 and 24 for Territory 1, 2 and 3 respectively.</t>
  </si>
  <si>
    <t>Remark 2:</t>
  </si>
  <si>
    <t xml:space="preserve">County Number </t>
  </si>
  <si>
    <t>Total Pot=</t>
  </si>
  <si>
    <t>Total Pot/m =</t>
  </si>
  <si>
    <t>Dis frm Ter 1 to SCU j:C1j</t>
  </si>
  <si>
    <t>Dis frm Ter 2 to SCU j:C2j</t>
  </si>
  <si>
    <t>Dis frm Ter3 to SCU j:C3j</t>
  </si>
  <si>
    <t>Potential (aj)</t>
  </si>
  <si>
    <t>X1j</t>
  </si>
  <si>
    <t>X2j</t>
  </si>
  <si>
    <t>X3j</t>
  </si>
  <si>
    <t>SumXj</t>
  </si>
  <si>
    <t>Cost 2</t>
  </si>
  <si>
    <t>Cost 3</t>
  </si>
  <si>
    <t>Cost 1</t>
  </si>
  <si>
    <t>Pot Ter 1</t>
  </si>
  <si>
    <t>Pot Ter 2</t>
  </si>
  <si>
    <t>Pot Ter 3</t>
  </si>
  <si>
    <t>Total Pot</t>
  </si>
  <si>
    <t>The (East, North) coordinates for counties 7, 19 and 24 are (8.8, 22.2), (10.3, 20.7) and (9.7 20.1).</t>
  </si>
  <si>
    <t>I-27 runs from (8.8, 21.1) to (8.8, 18.6)</t>
  </si>
  <si>
    <t>I-40 runs from (7.9, 21.1) to (11.0, 21.1)</t>
  </si>
  <si>
    <t>Remark 3:</t>
  </si>
  <si>
    <t>Remark 4:</t>
  </si>
  <si>
    <t>Remark 5:</t>
  </si>
  <si>
    <t>One cm on map equals 50.0 miles</t>
  </si>
  <si>
    <t>Territory</t>
  </si>
  <si>
    <t xml:space="preserve"> Centers for HQs</t>
  </si>
  <si>
    <t>Couty number</t>
  </si>
  <si>
    <t>Objective function</t>
  </si>
  <si>
    <t>Imput</t>
  </si>
  <si>
    <t>Decision variable</t>
  </si>
  <si>
    <t>Total cost</t>
  </si>
  <si>
    <t>Cost1</t>
  </si>
  <si>
    <t>Cost2</t>
  </si>
  <si>
    <t>Cost3</t>
  </si>
  <si>
    <t>centers</t>
  </si>
  <si>
    <t>cost</t>
  </si>
  <si>
    <t>Basecase</t>
  </si>
  <si>
    <t>Change T3</t>
  </si>
  <si>
    <t>Diff from Basecase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</si>
</sst>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6" borderId="0" xfId="0" applyFill="1" applyAlignment="1">
      <alignment horizontal="center"/>
    </xf>
    <xf numFmtId="0" fontId="0" fillId="0" borderId="0" xfId="0" applyAlignment="1">
      <alignment wrapText="1"/>
    </xf>
    <xf numFmtId="43" fontId="0" fillId="0" borderId="0" xfId="1" applyFont="1"/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43" fontId="1" fillId="2" borderId="0" xfId="1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43" fontId="0" fillId="0" borderId="0" xfId="1" applyFont="1" applyAlignment="1">
      <alignment wrapText="1"/>
    </xf>
    <xf numFmtId="43" fontId="1" fillId="3" borderId="0" xfId="1" applyFont="1" applyFill="1" applyAlignment="1">
      <alignment horizontal="center" wrapText="1"/>
    </xf>
    <xf numFmtId="43" fontId="0" fillId="7" borderId="0" xfId="1" applyFont="1" applyFill="1" applyAlignment="1">
      <alignment horizontal="center"/>
    </xf>
    <xf numFmtId="43" fontId="0" fillId="6" borderId="0" xfId="1" applyFont="1" applyFill="1"/>
    <xf numFmtId="43" fontId="0" fillId="7" borderId="0" xfId="1" applyFont="1" applyFill="1"/>
    <xf numFmtId="43" fontId="0" fillId="8" borderId="0" xfId="1" applyFont="1" applyFill="1"/>
    <xf numFmtId="0" fontId="1" fillId="2" borderId="0" xfId="0" applyFont="1" applyFill="1" applyAlignment="1">
      <alignment horizontal="right" wrapText="1"/>
    </xf>
    <xf numFmtId="0" fontId="0" fillId="6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64" fontId="1" fillId="2" borderId="0" xfId="1" applyNumberFormat="1" applyFont="1" applyFill="1" applyAlignment="1">
      <alignment horizontal="center" wrapText="1"/>
    </xf>
    <xf numFmtId="164" fontId="0" fillId="0" borderId="0" xfId="1" applyNumberFormat="1" applyFont="1"/>
    <xf numFmtId="164" fontId="1" fillId="5" borderId="0" xfId="1" applyNumberFormat="1" applyFont="1" applyFill="1"/>
    <xf numFmtId="164" fontId="1" fillId="0" borderId="0" xfId="1" applyNumberFormat="1" applyFont="1"/>
    <xf numFmtId="1" fontId="1" fillId="4" borderId="0" xfId="0" applyNumberFormat="1" applyFont="1" applyFill="1" applyAlignment="1">
      <alignment horizontal="right"/>
    </xf>
    <xf numFmtId="164" fontId="1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164" fontId="0" fillId="0" borderId="0" xfId="1" applyNumberFormat="1" applyFont="1" applyAlignment="1">
      <alignment horizontal="center"/>
    </xf>
    <xf numFmtId="9" fontId="0" fillId="0" borderId="0" xfId="2" applyFont="1"/>
    <xf numFmtId="164" fontId="0" fillId="9" borderId="0" xfId="1" applyNumberFormat="1" applyFont="1" applyFill="1"/>
    <xf numFmtId="164" fontId="0" fillId="6" borderId="0" xfId="1" applyNumberFormat="1" applyFont="1" applyFill="1"/>
    <xf numFmtId="164" fontId="0" fillId="0" borderId="0" xfId="0" applyNumberFormat="1" applyAlignment="1">
      <alignment horizontal="right"/>
    </xf>
    <xf numFmtId="164" fontId="0" fillId="0" borderId="0" xfId="0" applyNumberFormat="1"/>
    <xf numFmtId="164" fontId="1" fillId="0" borderId="0" xfId="0" applyNumberFormat="1" applyFont="1"/>
    <xf numFmtId="0" fontId="1" fillId="0" borderId="0" xfId="0" applyFont="1"/>
    <xf numFmtId="9" fontId="1" fillId="0" borderId="0" xfId="2" applyFont="1"/>
    <xf numFmtId="0" fontId="0" fillId="6" borderId="7" xfId="0" applyFill="1" applyBorder="1" applyAlignment="1">
      <alignment horizontal="center"/>
    </xf>
    <xf numFmtId="164" fontId="1" fillId="8" borderId="0" xfId="1" applyNumberFormat="1" applyFont="1" applyFill="1"/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78"/>
  <sheetViews>
    <sheetView tabSelected="1" workbookViewId="0">
      <pane xSplit="2" ySplit="3" topLeftCell="L4" activePane="bottomRight" state="frozen"/>
      <selection pane="topRight" activeCell="C1" sqref="C1"/>
      <selection pane="bottomLeft" activeCell="A4" sqref="A4"/>
      <selection pane="bottomRight" activeCell="S75" sqref="S75"/>
    </sheetView>
  </sheetViews>
  <sheetFormatPr defaultRowHeight="14.4" x14ac:dyDescent="0.3"/>
  <cols>
    <col min="1" max="1" width="12.6640625" customWidth="1"/>
    <col min="2" max="2" width="16.77734375" customWidth="1"/>
    <col min="3" max="3" width="12.6640625" style="20" customWidth="1"/>
    <col min="4" max="5" width="12.6640625" customWidth="1"/>
    <col min="6" max="8" width="12.6640625" style="6" customWidth="1"/>
    <col min="9" max="9" width="12.6640625" customWidth="1"/>
    <col min="10" max="12" width="12.6640625" style="6" customWidth="1"/>
    <col min="13" max="15" width="11.88671875" style="23" customWidth="1"/>
    <col min="16" max="16" width="11.77734375" style="23" customWidth="1"/>
    <col min="17" max="17" width="14.109375" style="23" customWidth="1"/>
    <col min="18" max="18" width="15.5546875" style="23" customWidth="1"/>
    <col min="19" max="19" width="14.44140625" customWidth="1"/>
    <col min="20" max="20" width="13.6640625" bestFit="1" customWidth="1"/>
    <col min="21" max="22" width="12.88671875" bestFit="1" customWidth="1"/>
    <col min="23" max="23" width="13" style="23" bestFit="1" customWidth="1"/>
    <col min="24" max="24" width="10.5546875" bestFit="1" customWidth="1"/>
  </cols>
  <sheetData>
    <row r="1" spans="1:24" s="5" customFormat="1" ht="28.8" x14ac:dyDescent="0.3">
      <c r="A1" s="7" t="s">
        <v>63</v>
      </c>
      <c r="B1" s="7" t="s">
        <v>0</v>
      </c>
      <c r="C1" s="17" t="s">
        <v>69</v>
      </c>
      <c r="D1" s="7" t="s">
        <v>51</v>
      </c>
      <c r="E1" s="7" t="s">
        <v>52</v>
      </c>
      <c r="F1" s="12" t="s">
        <v>70</v>
      </c>
      <c r="G1" s="12" t="s">
        <v>71</v>
      </c>
      <c r="H1" s="12" t="s">
        <v>72</v>
      </c>
      <c r="I1" s="8" t="s">
        <v>73</v>
      </c>
      <c r="J1" s="9" t="s">
        <v>66</v>
      </c>
      <c r="K1" s="9" t="s">
        <v>67</v>
      </c>
      <c r="L1" s="9" t="s">
        <v>68</v>
      </c>
      <c r="M1" s="22" t="s">
        <v>57</v>
      </c>
      <c r="N1" s="22" t="s">
        <v>58</v>
      </c>
      <c r="O1" s="22" t="s">
        <v>59</v>
      </c>
      <c r="P1" s="22" t="s">
        <v>53</v>
      </c>
      <c r="Q1" s="22" t="s">
        <v>54</v>
      </c>
      <c r="R1" s="22" t="s">
        <v>55</v>
      </c>
      <c r="S1" s="10"/>
      <c r="T1" s="10" t="s">
        <v>95</v>
      </c>
      <c r="U1" s="10" t="s">
        <v>96</v>
      </c>
      <c r="V1" s="10" t="s">
        <v>97</v>
      </c>
      <c r="W1" s="28" t="s">
        <v>94</v>
      </c>
    </row>
    <row r="2" spans="1:24" x14ac:dyDescent="0.3">
      <c r="A2" s="1">
        <v>1</v>
      </c>
      <c r="B2" s="1" t="s">
        <v>1</v>
      </c>
      <c r="C2" s="18">
        <v>6703</v>
      </c>
      <c r="D2" s="4">
        <v>7.9</v>
      </c>
      <c r="E2" s="4">
        <v>22.9</v>
      </c>
      <c r="F2" s="13">
        <v>1</v>
      </c>
      <c r="G2" s="13">
        <v>0</v>
      </c>
      <c r="H2" s="13">
        <v>0</v>
      </c>
      <c r="I2" s="1">
        <f>SUM(F2:H2)</f>
        <v>1</v>
      </c>
      <c r="J2" s="6">
        <f>SQRT(($D2-$D$63)^2+($E2-$E$63)^2)</f>
        <v>1.1401754250991378</v>
      </c>
      <c r="K2" s="6">
        <f>SQRT(($D2-$D$64)^2+($E2-$E$64)^2)</f>
        <v>3.2557641192199411</v>
      </c>
      <c r="L2" s="6">
        <f>SQRT(($D2-$D$65)^2+($E2-$E$65)^2)</f>
        <v>7.8230428862431776</v>
      </c>
      <c r="M2" s="23">
        <f>$C2*F2</f>
        <v>6703</v>
      </c>
      <c r="N2" s="23">
        <f t="shared" ref="N2" si="0">$C2*G2</f>
        <v>0</v>
      </c>
      <c r="O2" s="23">
        <f>$C2*H2</f>
        <v>0</v>
      </c>
      <c r="P2" s="23">
        <f>$C2*F2*J2</f>
        <v>7642.5958744395211</v>
      </c>
      <c r="Q2" s="23">
        <f>$C2*G2*K2</f>
        <v>0</v>
      </c>
      <c r="R2" s="23">
        <f t="shared" ref="R2" si="1">$C2*H2*L2</f>
        <v>0</v>
      </c>
      <c r="T2" s="36">
        <v>620776.00905098312</v>
      </c>
      <c r="U2" s="23">
        <v>1738813.1188371023</v>
      </c>
      <c r="V2" s="23">
        <v>1562878.1779801529</v>
      </c>
      <c r="W2" s="23">
        <f>SUM(T2:V2)</f>
        <v>3922467.3058682382</v>
      </c>
      <c r="X2" s="41">
        <f>ABS((T2+U2)/2-V2)</f>
        <v>383083.61403611023</v>
      </c>
    </row>
    <row r="3" spans="1:24" x14ac:dyDescent="0.3">
      <c r="A3" s="1">
        <v>2</v>
      </c>
      <c r="B3" s="1" t="s">
        <v>2</v>
      </c>
      <c r="C3" s="18">
        <v>3034</v>
      </c>
      <c r="D3" s="4">
        <v>8.8000000000000007</v>
      </c>
      <c r="E3" s="4">
        <v>22.9</v>
      </c>
      <c r="F3" s="13">
        <v>1</v>
      </c>
      <c r="G3" s="13">
        <v>0</v>
      </c>
      <c r="H3" s="13">
        <v>0</v>
      </c>
      <c r="I3" s="1">
        <f t="shared" ref="I3:I51" si="2">SUM(F3:H3)</f>
        <v>1</v>
      </c>
      <c r="J3" s="6">
        <f t="shared" ref="J3:J51" si="3">SQRT((D3-$D$63)^2+(E3-$E$63)^2)</f>
        <v>0.69999999999999929</v>
      </c>
      <c r="K3" s="6">
        <f t="shared" ref="K3:K51" si="4">SQRT(($D3-$D$64)^2+($E3-$E$64)^2)</f>
        <v>2.6627053911388692</v>
      </c>
      <c r="L3" s="6">
        <f t="shared" ref="L3:L51" si="5">SQRT(($D3-$D$65)^2+($E3-$E$65)^2)</f>
        <v>7.0802542327235676</v>
      </c>
      <c r="M3" s="23">
        <f t="shared" ref="M3:M51" si="6">$C3*F3</f>
        <v>3034</v>
      </c>
      <c r="N3" s="23">
        <f t="shared" ref="N3:N51" si="7">$C3*G3</f>
        <v>0</v>
      </c>
      <c r="O3" s="23">
        <f t="shared" ref="O3:O51" si="8">$C3*H3</f>
        <v>0</v>
      </c>
      <c r="P3" s="23">
        <f t="shared" ref="P3:P51" si="9">$C3*F3*J3</f>
        <v>2123.7999999999979</v>
      </c>
      <c r="Q3" s="23">
        <f t="shared" ref="Q3:Q51" si="10">$C3*G3*K3</f>
        <v>0</v>
      </c>
      <c r="R3" s="23">
        <f t="shared" ref="R3:R51" si="11">$C3*H3*L3</f>
        <v>0</v>
      </c>
      <c r="T3" s="36">
        <v>755372.95433681656</v>
      </c>
      <c r="U3" s="23">
        <v>1721374.0974395662</v>
      </c>
      <c r="V3" s="23">
        <v>1385864.8285363582</v>
      </c>
      <c r="W3" s="23">
        <f t="shared" ref="W3:W51" si="12">SUM(T3:V3)</f>
        <v>3862611.8803127408</v>
      </c>
      <c r="X3" s="41">
        <f t="shared" ref="X3:X51" si="13">ABS((T3+U3)/2-V3)</f>
        <v>147491.30264816689</v>
      </c>
    </row>
    <row r="4" spans="1:24" x14ac:dyDescent="0.3">
      <c r="A4" s="1">
        <v>3</v>
      </c>
      <c r="B4" s="1" t="s">
        <v>3</v>
      </c>
      <c r="C4" s="18">
        <v>5613</v>
      </c>
      <c r="D4" s="4">
        <v>9.5</v>
      </c>
      <c r="E4" s="4">
        <v>22.9</v>
      </c>
      <c r="F4" s="13">
        <v>0.99999999999999722</v>
      </c>
      <c r="G4" s="13">
        <v>0</v>
      </c>
      <c r="H4" s="13">
        <v>0</v>
      </c>
      <c r="I4" s="1">
        <f t="shared" si="2"/>
        <v>0.99999999999999722</v>
      </c>
      <c r="J4" s="6">
        <f t="shared" si="3"/>
        <v>0.98994949366116547</v>
      </c>
      <c r="K4" s="6">
        <f t="shared" si="4"/>
        <v>2.3409399821439245</v>
      </c>
      <c r="L4" s="6">
        <f t="shared" si="5"/>
        <v>6.5299310869258029</v>
      </c>
      <c r="M4" s="23">
        <f t="shared" si="6"/>
        <v>5612.9999999999845</v>
      </c>
      <c r="N4" s="23">
        <f t="shared" si="7"/>
        <v>0</v>
      </c>
      <c r="O4" s="23">
        <f t="shared" si="8"/>
        <v>0</v>
      </c>
      <c r="P4" s="23">
        <f t="shared" si="9"/>
        <v>5556.5865079201067</v>
      </c>
      <c r="Q4" s="23">
        <f t="shared" si="10"/>
        <v>0</v>
      </c>
      <c r="R4" s="23">
        <f t="shared" si="11"/>
        <v>0</v>
      </c>
      <c r="T4" s="36">
        <v>638748.7595554872</v>
      </c>
      <c r="U4" s="23">
        <v>1220589.6068337557</v>
      </c>
      <c r="V4" s="23">
        <v>1965294.3299450648</v>
      </c>
      <c r="W4" s="23">
        <f t="shared" si="12"/>
        <v>3824632.696334308</v>
      </c>
      <c r="X4" s="41">
        <f t="shared" si="13"/>
        <v>1035625.1467504434</v>
      </c>
    </row>
    <row r="5" spans="1:24" x14ac:dyDescent="0.3">
      <c r="A5" s="1">
        <v>4</v>
      </c>
      <c r="B5" s="1" t="s">
        <v>4</v>
      </c>
      <c r="C5" s="18">
        <v>10223</v>
      </c>
      <c r="D5" s="4">
        <v>10.3</v>
      </c>
      <c r="E5" s="4">
        <v>22.9</v>
      </c>
      <c r="F5" s="13">
        <v>1</v>
      </c>
      <c r="G5" s="13">
        <v>0</v>
      </c>
      <c r="H5" s="13">
        <v>0</v>
      </c>
      <c r="I5" s="1">
        <f t="shared" si="2"/>
        <v>1</v>
      </c>
      <c r="J5" s="6">
        <f t="shared" si="3"/>
        <v>1.6552945357246844</v>
      </c>
      <c r="K5" s="6">
        <f t="shared" si="4"/>
        <v>2.1999999999999993</v>
      </c>
      <c r="L5" s="6">
        <f t="shared" si="5"/>
        <v>5.9396969619669981</v>
      </c>
      <c r="M5" s="23">
        <f t="shared" si="6"/>
        <v>10223</v>
      </c>
      <c r="N5" s="23">
        <f t="shared" si="7"/>
        <v>0</v>
      </c>
      <c r="O5" s="23">
        <f t="shared" si="8"/>
        <v>0</v>
      </c>
      <c r="P5" s="23">
        <f t="shared" si="9"/>
        <v>16922.076038713451</v>
      </c>
      <c r="Q5" s="23">
        <f t="shared" si="10"/>
        <v>0</v>
      </c>
      <c r="R5" s="23">
        <f t="shared" si="11"/>
        <v>0</v>
      </c>
      <c r="T5" s="36">
        <v>595208.40643016307</v>
      </c>
      <c r="U5" s="23">
        <v>976739.52185027464</v>
      </c>
      <c r="V5" s="23">
        <v>2081432.2553702639</v>
      </c>
      <c r="W5" s="23">
        <f t="shared" si="12"/>
        <v>3653380.1836507018</v>
      </c>
      <c r="X5" s="41">
        <f t="shared" si="13"/>
        <v>1295458.291230045</v>
      </c>
    </row>
    <row r="6" spans="1:24" x14ac:dyDescent="0.3">
      <c r="A6" s="1">
        <v>5</v>
      </c>
      <c r="B6" s="1" t="s">
        <v>5</v>
      </c>
      <c r="C6" s="18">
        <v>3302</v>
      </c>
      <c r="D6" s="4">
        <v>11</v>
      </c>
      <c r="E6" s="4">
        <v>22.9</v>
      </c>
      <c r="F6" s="13">
        <v>1</v>
      </c>
      <c r="G6" s="13">
        <v>0</v>
      </c>
      <c r="H6" s="13">
        <v>0</v>
      </c>
      <c r="I6" s="1">
        <f t="shared" si="2"/>
        <v>1</v>
      </c>
      <c r="J6" s="6">
        <f t="shared" si="3"/>
        <v>2.3086792761230384</v>
      </c>
      <c r="K6" s="6">
        <f t="shared" si="4"/>
        <v>2.3086792761230384</v>
      </c>
      <c r="L6" s="6">
        <f t="shared" si="5"/>
        <v>5.4671747731346576</v>
      </c>
      <c r="M6" s="23">
        <f t="shared" si="6"/>
        <v>3302</v>
      </c>
      <c r="N6" s="23">
        <f t="shared" si="7"/>
        <v>0</v>
      </c>
      <c r="O6" s="23">
        <f t="shared" si="8"/>
        <v>0</v>
      </c>
      <c r="P6" s="23">
        <f t="shared" si="9"/>
        <v>7623.2589697582725</v>
      </c>
      <c r="Q6" s="23">
        <f t="shared" si="10"/>
        <v>0</v>
      </c>
      <c r="R6" s="23">
        <f t="shared" si="11"/>
        <v>0</v>
      </c>
      <c r="T6" s="36">
        <v>531625.97730464488</v>
      </c>
      <c r="U6" s="23">
        <v>948472.43896214385</v>
      </c>
      <c r="V6" s="23">
        <v>2024801.3214526337</v>
      </c>
      <c r="W6" s="23">
        <f t="shared" si="12"/>
        <v>3504899.7377194222</v>
      </c>
      <c r="X6" s="41">
        <f t="shared" si="13"/>
        <v>1284752.1133192393</v>
      </c>
    </row>
    <row r="7" spans="1:24" x14ac:dyDescent="0.3">
      <c r="A7" s="1">
        <v>6</v>
      </c>
      <c r="B7" s="1" t="s">
        <v>6</v>
      </c>
      <c r="C7" s="18">
        <v>6062</v>
      </c>
      <c r="D7" s="4">
        <v>7.9</v>
      </c>
      <c r="E7" s="4">
        <v>22.2</v>
      </c>
      <c r="F7" s="13">
        <v>1</v>
      </c>
      <c r="G7" s="13">
        <v>0</v>
      </c>
      <c r="H7" s="13">
        <v>0</v>
      </c>
      <c r="I7" s="1">
        <f t="shared" si="2"/>
        <v>1</v>
      </c>
      <c r="J7" s="6">
        <f t="shared" si="3"/>
        <v>0.90000000000000036</v>
      </c>
      <c r="K7" s="6">
        <f t="shared" si="4"/>
        <v>2.8301943396169813</v>
      </c>
      <c r="L7" s="6">
        <f t="shared" si="5"/>
        <v>7.4706090782479038</v>
      </c>
      <c r="M7" s="23">
        <f t="shared" si="6"/>
        <v>6062</v>
      </c>
      <c r="N7" s="23">
        <f t="shared" si="7"/>
        <v>0</v>
      </c>
      <c r="O7" s="23">
        <f t="shared" si="8"/>
        <v>0</v>
      </c>
      <c r="P7" s="23">
        <f t="shared" si="9"/>
        <v>5455.800000000002</v>
      </c>
      <c r="Q7" s="23">
        <f t="shared" si="10"/>
        <v>0</v>
      </c>
      <c r="R7" s="23">
        <f t="shared" si="11"/>
        <v>0</v>
      </c>
      <c r="T7" s="36">
        <v>587898.11472489196</v>
      </c>
      <c r="U7" s="23">
        <v>1738813.1188371028</v>
      </c>
      <c r="V7" s="23">
        <v>1336560.1918636265</v>
      </c>
      <c r="W7" s="23">
        <f t="shared" si="12"/>
        <v>3663271.4254256207</v>
      </c>
      <c r="X7" s="41">
        <f t="shared" si="13"/>
        <v>173204.57508262922</v>
      </c>
    </row>
    <row r="8" spans="1:24" x14ac:dyDescent="0.3">
      <c r="A8" s="1">
        <v>7</v>
      </c>
      <c r="B8" s="1" t="s">
        <v>7</v>
      </c>
      <c r="C8" s="18">
        <v>21904</v>
      </c>
      <c r="D8" s="4">
        <v>8.8000000000000007</v>
      </c>
      <c r="E8" s="4">
        <v>22.2</v>
      </c>
      <c r="F8" s="13">
        <v>1</v>
      </c>
      <c r="G8" s="13">
        <v>0</v>
      </c>
      <c r="H8" s="13">
        <v>0</v>
      </c>
      <c r="I8" s="1">
        <f t="shared" si="2"/>
        <v>1</v>
      </c>
      <c r="J8" s="6">
        <f t="shared" si="3"/>
        <v>0</v>
      </c>
      <c r="K8" s="6">
        <f t="shared" si="4"/>
        <v>2.1213203435596424</v>
      </c>
      <c r="L8" s="6">
        <f t="shared" si="5"/>
        <v>6.6887966032762574</v>
      </c>
      <c r="M8" s="23">
        <f t="shared" si="6"/>
        <v>21904</v>
      </c>
      <c r="N8" s="23">
        <f t="shared" si="7"/>
        <v>0</v>
      </c>
      <c r="O8" s="23">
        <f t="shared" si="8"/>
        <v>0</v>
      </c>
      <c r="P8" s="23">
        <f t="shared" si="9"/>
        <v>0</v>
      </c>
      <c r="Q8" s="23">
        <f t="shared" si="10"/>
        <v>0</v>
      </c>
      <c r="R8" s="23">
        <f t="shared" si="11"/>
        <v>0</v>
      </c>
      <c r="T8" s="36">
        <v>608834.88188408094</v>
      </c>
      <c r="U8" s="23">
        <v>1738813.1188371028</v>
      </c>
      <c r="V8" s="23">
        <v>1295801.8382109776</v>
      </c>
      <c r="W8" s="23">
        <f t="shared" si="12"/>
        <v>3643449.8389321612</v>
      </c>
      <c r="X8" s="41">
        <f t="shared" si="13"/>
        <v>121977.83785038581</v>
      </c>
    </row>
    <row r="9" spans="1:24" x14ac:dyDescent="0.3">
      <c r="A9" s="1">
        <v>8</v>
      </c>
      <c r="B9" s="1" t="s">
        <v>8</v>
      </c>
      <c r="C9" s="18">
        <v>22150</v>
      </c>
      <c r="D9" s="4">
        <v>9.5</v>
      </c>
      <c r="E9" s="4">
        <v>22.2</v>
      </c>
      <c r="F9" s="13">
        <v>1</v>
      </c>
      <c r="G9" s="13">
        <v>0</v>
      </c>
      <c r="H9" s="13">
        <v>0</v>
      </c>
      <c r="I9" s="1">
        <f t="shared" si="2"/>
        <v>1</v>
      </c>
      <c r="J9" s="6">
        <f t="shared" si="3"/>
        <v>0.69999999999999929</v>
      </c>
      <c r="K9" s="6">
        <f t="shared" si="4"/>
        <v>1.7000000000000004</v>
      </c>
      <c r="L9" s="6">
        <f t="shared" si="5"/>
        <v>6.103277807866851</v>
      </c>
      <c r="M9" s="23">
        <f t="shared" si="6"/>
        <v>22150</v>
      </c>
      <c r="N9" s="23">
        <f t="shared" si="7"/>
        <v>0</v>
      </c>
      <c r="O9" s="23">
        <f t="shared" si="8"/>
        <v>0</v>
      </c>
      <c r="P9" s="23">
        <f t="shared" si="9"/>
        <v>15504.999999999984</v>
      </c>
      <c r="Q9" s="23">
        <f t="shared" si="10"/>
        <v>0</v>
      </c>
      <c r="R9" s="23">
        <f t="shared" si="11"/>
        <v>0</v>
      </c>
      <c r="T9" s="36">
        <v>615618.56202048645</v>
      </c>
      <c r="U9" s="23">
        <v>1661832.8591128611</v>
      </c>
      <c r="V9" s="23">
        <v>1322248.4644454727</v>
      </c>
      <c r="W9" s="23">
        <f t="shared" si="12"/>
        <v>3599699.8855788205</v>
      </c>
      <c r="X9" s="41">
        <f t="shared" si="13"/>
        <v>183522.7538787988</v>
      </c>
    </row>
    <row r="10" spans="1:24" x14ac:dyDescent="0.3">
      <c r="A10" s="1">
        <v>9</v>
      </c>
      <c r="B10" s="1" t="s">
        <v>9</v>
      </c>
      <c r="C10" s="18">
        <v>929</v>
      </c>
      <c r="D10" s="4">
        <v>10.3</v>
      </c>
      <c r="E10" s="4">
        <v>22.2</v>
      </c>
      <c r="F10" s="13">
        <v>1</v>
      </c>
      <c r="G10" s="13">
        <v>0</v>
      </c>
      <c r="H10" s="13">
        <v>0</v>
      </c>
      <c r="I10" s="1">
        <f t="shared" si="2"/>
        <v>1</v>
      </c>
      <c r="J10" s="6">
        <f t="shared" si="3"/>
        <v>1.5</v>
      </c>
      <c r="K10" s="6">
        <f t="shared" si="4"/>
        <v>1.5</v>
      </c>
      <c r="L10" s="6">
        <f t="shared" si="5"/>
        <v>5.4671747731346576</v>
      </c>
      <c r="M10" s="23">
        <f t="shared" si="6"/>
        <v>929</v>
      </c>
      <c r="N10" s="23">
        <f t="shared" si="7"/>
        <v>0</v>
      </c>
      <c r="O10" s="23">
        <f t="shared" si="8"/>
        <v>0</v>
      </c>
      <c r="P10" s="23">
        <f t="shared" si="9"/>
        <v>1393.5</v>
      </c>
      <c r="Q10" s="23">
        <f t="shared" si="10"/>
        <v>0</v>
      </c>
      <c r="R10" s="23">
        <f t="shared" si="11"/>
        <v>0</v>
      </c>
      <c r="T10" s="36">
        <v>554573.05157084262</v>
      </c>
      <c r="U10" s="23">
        <v>955282.70598274621</v>
      </c>
      <c r="V10" s="23">
        <v>1976104.6812936545</v>
      </c>
      <c r="W10" s="23">
        <f t="shared" si="12"/>
        <v>3485960.4388472433</v>
      </c>
      <c r="X10" s="41">
        <f t="shared" si="13"/>
        <v>1221176.80251686</v>
      </c>
    </row>
    <row r="11" spans="1:24" x14ac:dyDescent="0.3">
      <c r="A11" s="1">
        <v>10</v>
      </c>
      <c r="B11" s="1" t="s">
        <v>10</v>
      </c>
      <c r="C11" s="18">
        <v>3807</v>
      </c>
      <c r="D11" s="4">
        <v>11</v>
      </c>
      <c r="E11" s="4">
        <v>22.2</v>
      </c>
      <c r="F11" s="13">
        <v>1.0000000000000007</v>
      </c>
      <c r="G11" s="13">
        <v>0</v>
      </c>
      <c r="H11" s="13">
        <v>0</v>
      </c>
      <c r="I11" s="1">
        <f t="shared" si="2"/>
        <v>1.0000000000000007</v>
      </c>
      <c r="J11" s="6">
        <f t="shared" si="3"/>
        <v>2.1999999999999993</v>
      </c>
      <c r="K11" s="6">
        <f t="shared" si="4"/>
        <v>1.6552945357246844</v>
      </c>
      <c r="L11" s="6">
        <f t="shared" si="5"/>
        <v>4.9497474683058327</v>
      </c>
      <c r="M11" s="23">
        <f t="shared" si="6"/>
        <v>3807.0000000000027</v>
      </c>
      <c r="N11" s="23">
        <f t="shared" si="7"/>
        <v>0</v>
      </c>
      <c r="O11" s="23">
        <f t="shared" si="8"/>
        <v>0</v>
      </c>
      <c r="P11" s="23">
        <f t="shared" si="9"/>
        <v>8375.4000000000033</v>
      </c>
      <c r="Q11" s="23">
        <f t="shared" si="10"/>
        <v>0</v>
      </c>
      <c r="R11" s="23">
        <f t="shared" si="11"/>
        <v>0</v>
      </c>
      <c r="T11" s="36">
        <v>531625.97730464488</v>
      </c>
      <c r="U11" s="23">
        <v>948472.43896214385</v>
      </c>
      <c r="V11" s="23">
        <v>1830638.297197165</v>
      </c>
      <c r="W11" s="23">
        <f t="shared" si="12"/>
        <v>3310736.7134639537</v>
      </c>
      <c r="X11" s="41">
        <f t="shared" si="13"/>
        <v>1090589.0890637706</v>
      </c>
    </row>
    <row r="12" spans="1:24" x14ac:dyDescent="0.3">
      <c r="A12" s="1">
        <v>11</v>
      </c>
      <c r="B12" s="1" t="s">
        <v>11</v>
      </c>
      <c r="C12" s="18">
        <v>2052</v>
      </c>
      <c r="D12" s="4">
        <v>7.9</v>
      </c>
      <c r="E12" s="4">
        <v>21.5</v>
      </c>
      <c r="F12" s="13">
        <v>1</v>
      </c>
      <c r="G12" s="13">
        <v>0</v>
      </c>
      <c r="H12" s="13">
        <v>0</v>
      </c>
      <c r="I12" s="1">
        <f t="shared" si="2"/>
        <v>1</v>
      </c>
      <c r="J12" s="6">
        <f t="shared" si="3"/>
        <v>1.1401754250991378</v>
      </c>
      <c r="K12" s="6">
        <f t="shared" si="4"/>
        <v>2.529822128134704</v>
      </c>
      <c r="L12" s="6">
        <f t="shared" si="5"/>
        <v>7.1693793315739685</v>
      </c>
      <c r="M12" s="23">
        <f t="shared" si="6"/>
        <v>2052</v>
      </c>
      <c r="N12" s="23">
        <f t="shared" si="7"/>
        <v>0</v>
      </c>
      <c r="O12" s="23">
        <f t="shared" si="8"/>
        <v>0</v>
      </c>
      <c r="P12" s="23">
        <f t="shared" si="9"/>
        <v>2339.639972303431</v>
      </c>
      <c r="Q12" s="23">
        <f t="shared" si="10"/>
        <v>0</v>
      </c>
      <c r="R12" s="23">
        <f t="shared" si="11"/>
        <v>0</v>
      </c>
      <c r="T12" s="36">
        <v>563956.00851715193</v>
      </c>
      <c r="U12" s="23">
        <v>1738813.1188371025</v>
      </c>
      <c r="V12" s="23">
        <v>1102130.5571900003</v>
      </c>
      <c r="W12" s="23">
        <f t="shared" si="12"/>
        <v>3404899.684544255</v>
      </c>
      <c r="X12" s="41">
        <f t="shared" si="13"/>
        <v>49254.006487126928</v>
      </c>
    </row>
    <row r="13" spans="1:24" x14ac:dyDescent="0.3">
      <c r="A13" s="1">
        <v>12</v>
      </c>
      <c r="B13" s="1" t="s">
        <v>12</v>
      </c>
      <c r="C13" s="18">
        <v>121073</v>
      </c>
      <c r="D13" s="4">
        <v>8.8000000000000007</v>
      </c>
      <c r="E13" s="4">
        <v>21.5</v>
      </c>
      <c r="F13" s="13">
        <v>1.0000000000000002</v>
      </c>
      <c r="G13" s="13">
        <v>0</v>
      </c>
      <c r="H13" s="13">
        <v>0</v>
      </c>
      <c r="I13" s="1">
        <f t="shared" si="2"/>
        <v>1.0000000000000002</v>
      </c>
      <c r="J13" s="6">
        <f t="shared" si="3"/>
        <v>0.69999999999999929</v>
      </c>
      <c r="K13" s="6">
        <f t="shared" si="4"/>
        <v>1.7000000000000004</v>
      </c>
      <c r="L13" s="6">
        <f t="shared" si="5"/>
        <v>6.3505905237229712</v>
      </c>
      <c r="M13" s="23">
        <f t="shared" si="6"/>
        <v>121073.00000000003</v>
      </c>
      <c r="N13" s="23">
        <f t="shared" si="7"/>
        <v>0</v>
      </c>
      <c r="O13" s="23">
        <f t="shared" si="8"/>
        <v>0</v>
      </c>
      <c r="P13" s="23">
        <f t="shared" si="9"/>
        <v>84751.099999999933</v>
      </c>
      <c r="Q13" s="23">
        <f t="shared" si="10"/>
        <v>0</v>
      </c>
      <c r="R13" s="23">
        <f t="shared" si="11"/>
        <v>0</v>
      </c>
      <c r="T13" s="36">
        <v>1070378.9494022408</v>
      </c>
      <c r="U13" s="23">
        <v>1738813.1188371023</v>
      </c>
      <c r="V13" s="23">
        <v>554568.71225779748</v>
      </c>
      <c r="W13" s="23">
        <f t="shared" si="12"/>
        <v>3363760.7804971407</v>
      </c>
      <c r="X13" s="41">
        <f t="shared" si="13"/>
        <v>850027.3218618742</v>
      </c>
    </row>
    <row r="14" spans="1:24" x14ac:dyDescent="0.3">
      <c r="A14" s="1">
        <v>13</v>
      </c>
      <c r="B14" s="1" t="s">
        <v>13</v>
      </c>
      <c r="C14" s="18">
        <v>6182</v>
      </c>
      <c r="D14" s="4">
        <v>9.5</v>
      </c>
      <c r="E14" s="4">
        <v>21.5</v>
      </c>
      <c r="F14" s="13">
        <v>0.99999999999999989</v>
      </c>
      <c r="G14" s="13">
        <v>0</v>
      </c>
      <c r="H14" s="13">
        <v>0</v>
      </c>
      <c r="I14" s="1">
        <f t="shared" si="2"/>
        <v>0.99999999999999989</v>
      </c>
      <c r="J14" s="6">
        <f t="shared" si="3"/>
        <v>0.98994949366116547</v>
      </c>
      <c r="K14" s="6">
        <f t="shared" si="4"/>
        <v>1.1313708498984771</v>
      </c>
      <c r="L14" s="6">
        <f t="shared" si="5"/>
        <v>5.7306195127577615</v>
      </c>
      <c r="M14" s="23">
        <f t="shared" si="6"/>
        <v>6181.9999999999991</v>
      </c>
      <c r="N14" s="23">
        <f t="shared" si="7"/>
        <v>0</v>
      </c>
      <c r="O14" s="23">
        <f t="shared" si="8"/>
        <v>0</v>
      </c>
      <c r="P14" s="23">
        <f t="shared" si="9"/>
        <v>6119.8677698133242</v>
      </c>
      <c r="Q14" s="23">
        <f t="shared" si="10"/>
        <v>0</v>
      </c>
      <c r="R14" s="23">
        <f t="shared" si="11"/>
        <v>0</v>
      </c>
      <c r="T14" s="36">
        <v>533351.35655032331</v>
      </c>
      <c r="U14" s="23">
        <v>1756974.0927320854</v>
      </c>
      <c r="V14" s="23">
        <v>1085536.8114990781</v>
      </c>
      <c r="W14" s="23">
        <f t="shared" si="12"/>
        <v>3375862.2607814865</v>
      </c>
      <c r="X14" s="41">
        <f t="shared" si="13"/>
        <v>59625.913142126286</v>
      </c>
    </row>
    <row r="15" spans="1:24" x14ac:dyDescent="0.3">
      <c r="A15" s="1">
        <v>14</v>
      </c>
      <c r="B15" s="1" t="s">
        <v>14</v>
      </c>
      <c r="C15" s="18">
        <v>22535</v>
      </c>
      <c r="D15" s="4">
        <v>10.3</v>
      </c>
      <c r="E15" s="4">
        <v>21.5</v>
      </c>
      <c r="F15" s="13">
        <v>0</v>
      </c>
      <c r="G15" s="13">
        <v>0.99999999999999989</v>
      </c>
      <c r="H15" s="13">
        <v>0</v>
      </c>
      <c r="I15" s="1">
        <f t="shared" si="2"/>
        <v>0.99999999999999989</v>
      </c>
      <c r="J15" s="6">
        <f t="shared" si="3"/>
        <v>1.6552945357246844</v>
      </c>
      <c r="K15" s="6">
        <f t="shared" si="4"/>
        <v>0.80000000000000071</v>
      </c>
      <c r="L15" s="6">
        <f t="shared" si="5"/>
        <v>5.0477717856495845</v>
      </c>
      <c r="M15" s="23">
        <f t="shared" si="6"/>
        <v>0</v>
      </c>
      <c r="N15" s="23">
        <f t="shared" si="7"/>
        <v>22534.999999999996</v>
      </c>
      <c r="O15" s="23">
        <f t="shared" si="8"/>
        <v>0</v>
      </c>
      <c r="P15" s="23">
        <f t="shared" si="9"/>
        <v>0</v>
      </c>
      <c r="Q15" s="23">
        <f t="shared" si="10"/>
        <v>18028.000000000015</v>
      </c>
      <c r="R15" s="23">
        <f t="shared" si="11"/>
        <v>0</v>
      </c>
      <c r="T15" s="36">
        <v>531625.97730464488</v>
      </c>
      <c r="U15" s="23">
        <v>960800.80852856953</v>
      </c>
      <c r="V15" s="23">
        <v>1842620.9029819579</v>
      </c>
      <c r="W15" s="23">
        <f t="shared" si="12"/>
        <v>3335047.6888151723</v>
      </c>
      <c r="X15" s="41">
        <f t="shared" si="13"/>
        <v>1096407.5100653507</v>
      </c>
    </row>
    <row r="16" spans="1:24" x14ac:dyDescent="0.3">
      <c r="A16" s="1">
        <v>15</v>
      </c>
      <c r="B16" s="1" t="s">
        <v>15</v>
      </c>
      <c r="C16" s="18">
        <v>5410</v>
      </c>
      <c r="D16" s="4">
        <v>11</v>
      </c>
      <c r="E16" s="4">
        <v>21.5</v>
      </c>
      <c r="F16" s="13">
        <v>0</v>
      </c>
      <c r="G16" s="13">
        <v>1</v>
      </c>
      <c r="H16" s="13">
        <v>0</v>
      </c>
      <c r="I16" s="1">
        <f t="shared" si="2"/>
        <v>1</v>
      </c>
      <c r="J16" s="6">
        <f t="shared" si="3"/>
        <v>2.3086792761230384</v>
      </c>
      <c r="K16" s="6">
        <f t="shared" si="4"/>
        <v>1.063014581273465</v>
      </c>
      <c r="L16" s="6">
        <f t="shared" si="5"/>
        <v>4.4821869662029945</v>
      </c>
      <c r="M16" s="23">
        <f t="shared" si="6"/>
        <v>0</v>
      </c>
      <c r="N16" s="23">
        <f t="shared" si="7"/>
        <v>5410</v>
      </c>
      <c r="O16" s="23">
        <f t="shared" si="8"/>
        <v>0</v>
      </c>
      <c r="P16" s="23">
        <f t="shared" si="9"/>
        <v>0</v>
      </c>
      <c r="Q16" s="23">
        <f t="shared" si="10"/>
        <v>5750.9088846894456</v>
      </c>
      <c r="R16" s="23">
        <f t="shared" si="11"/>
        <v>0</v>
      </c>
      <c r="T16" s="36">
        <v>509240.57270062686</v>
      </c>
      <c r="U16" s="23">
        <v>952110.29495317466</v>
      </c>
      <c r="V16" s="23">
        <v>1682129.1614022797</v>
      </c>
      <c r="W16" s="23">
        <f t="shared" si="12"/>
        <v>3143480.0290560815</v>
      </c>
      <c r="X16" s="41">
        <f t="shared" si="13"/>
        <v>951453.72757537896</v>
      </c>
    </row>
    <row r="17" spans="1:24" x14ac:dyDescent="0.3">
      <c r="A17" s="1">
        <v>16</v>
      </c>
      <c r="B17" s="1" t="s">
        <v>16</v>
      </c>
      <c r="C17" s="18">
        <v>19372</v>
      </c>
      <c r="D17" s="4">
        <v>7.9</v>
      </c>
      <c r="E17" s="4">
        <v>20.7</v>
      </c>
      <c r="F17" s="13">
        <v>1</v>
      </c>
      <c r="G17" s="13">
        <v>0</v>
      </c>
      <c r="H17" s="13">
        <v>0</v>
      </c>
      <c r="I17" s="1">
        <f t="shared" si="2"/>
        <v>1</v>
      </c>
      <c r="J17" s="6">
        <f t="shared" si="3"/>
        <v>1.7492855684535902</v>
      </c>
      <c r="K17" s="6">
        <f t="shared" si="4"/>
        <v>2.4000000000000004</v>
      </c>
      <c r="L17" s="6">
        <f t="shared" si="5"/>
        <v>6.8963758598266667</v>
      </c>
      <c r="M17" s="23">
        <f t="shared" si="6"/>
        <v>19372</v>
      </c>
      <c r="N17" s="23">
        <f t="shared" si="7"/>
        <v>0</v>
      </c>
      <c r="O17" s="23">
        <f t="shared" si="8"/>
        <v>0</v>
      </c>
      <c r="P17" s="23">
        <f t="shared" si="9"/>
        <v>33887.160032082946</v>
      </c>
      <c r="Q17" s="23">
        <f t="shared" si="10"/>
        <v>0</v>
      </c>
      <c r="R17" s="23">
        <f t="shared" si="11"/>
        <v>0</v>
      </c>
      <c r="T17" s="36">
        <v>560341.31160949904</v>
      </c>
      <c r="U17" s="23">
        <v>1738813.1188371025</v>
      </c>
      <c r="V17" s="23">
        <v>808781.4946200694</v>
      </c>
      <c r="W17" s="23">
        <f t="shared" si="12"/>
        <v>3107935.9250666709</v>
      </c>
      <c r="X17" s="41">
        <f t="shared" si="13"/>
        <v>340795.72060323134</v>
      </c>
    </row>
    <row r="18" spans="1:24" x14ac:dyDescent="0.3">
      <c r="A18" s="1">
        <v>17</v>
      </c>
      <c r="B18" s="1" t="s">
        <v>17</v>
      </c>
      <c r="C18" s="18">
        <v>120725</v>
      </c>
      <c r="D18" s="4">
        <v>8.8000000000000007</v>
      </c>
      <c r="E18" s="4">
        <v>20.7</v>
      </c>
      <c r="F18" s="13">
        <v>1</v>
      </c>
      <c r="G18" s="13">
        <v>0</v>
      </c>
      <c r="H18" s="13">
        <v>0</v>
      </c>
      <c r="I18" s="1">
        <f t="shared" si="2"/>
        <v>1</v>
      </c>
      <c r="J18" s="6">
        <f t="shared" si="3"/>
        <v>1.5</v>
      </c>
      <c r="K18" s="6">
        <f t="shared" si="4"/>
        <v>1.5</v>
      </c>
      <c r="L18" s="6">
        <f t="shared" si="5"/>
        <v>6.0406953242155819</v>
      </c>
      <c r="M18" s="23">
        <f t="shared" si="6"/>
        <v>120725</v>
      </c>
      <c r="N18" s="23">
        <f t="shared" si="7"/>
        <v>0</v>
      </c>
      <c r="O18" s="23">
        <f t="shared" si="8"/>
        <v>0</v>
      </c>
      <c r="P18" s="23">
        <f t="shared" si="9"/>
        <v>181087.5</v>
      </c>
      <c r="Q18" s="23">
        <f t="shared" si="10"/>
        <v>0</v>
      </c>
      <c r="R18" s="23">
        <f t="shared" si="11"/>
        <v>0</v>
      </c>
      <c r="T18" s="36">
        <v>719151.83297928749</v>
      </c>
      <c r="U18" s="23">
        <v>1738813.1188371025</v>
      </c>
      <c r="V18" s="23">
        <v>586314.34278032044</v>
      </c>
      <c r="W18" s="23">
        <f t="shared" si="12"/>
        <v>3044279.2945967107</v>
      </c>
      <c r="X18" s="41">
        <f t="shared" si="13"/>
        <v>642668.13312787469</v>
      </c>
    </row>
    <row r="19" spans="1:24" x14ac:dyDescent="0.3">
      <c r="A19" s="1">
        <v>18</v>
      </c>
      <c r="B19" s="1" t="s">
        <v>18</v>
      </c>
      <c r="C19" s="18">
        <v>1901</v>
      </c>
      <c r="D19" s="4">
        <v>9.5</v>
      </c>
      <c r="E19" s="4">
        <v>20.7</v>
      </c>
      <c r="F19" s="13">
        <v>0</v>
      </c>
      <c r="G19" s="13">
        <v>1</v>
      </c>
      <c r="H19" s="13">
        <v>0</v>
      </c>
      <c r="I19" s="1">
        <f t="shared" si="2"/>
        <v>1</v>
      </c>
      <c r="J19" s="6">
        <f t="shared" si="3"/>
        <v>1.6552945357246844</v>
      </c>
      <c r="K19" s="6">
        <f t="shared" si="4"/>
        <v>0.80000000000000071</v>
      </c>
      <c r="L19" s="6">
        <f t="shared" si="5"/>
        <v>5.3851648071345037</v>
      </c>
      <c r="M19" s="23">
        <f t="shared" si="6"/>
        <v>0</v>
      </c>
      <c r="N19" s="23">
        <f t="shared" si="7"/>
        <v>1901</v>
      </c>
      <c r="O19" s="23">
        <f t="shared" si="8"/>
        <v>0</v>
      </c>
      <c r="P19" s="23">
        <f t="shared" si="9"/>
        <v>0</v>
      </c>
      <c r="Q19" s="23">
        <f t="shared" si="10"/>
        <v>1520.8000000000013</v>
      </c>
      <c r="R19" s="23">
        <f t="shared" si="11"/>
        <v>0</v>
      </c>
      <c r="T19" s="36">
        <v>478604.05205802037</v>
      </c>
      <c r="U19" s="23">
        <v>1788373.9378493908</v>
      </c>
      <c r="V19" s="23">
        <v>824200.14991312195</v>
      </c>
      <c r="W19" s="23">
        <f t="shared" si="12"/>
        <v>3091178.1398205329</v>
      </c>
      <c r="X19" s="41">
        <f t="shared" si="13"/>
        <v>309288.84504058352</v>
      </c>
    </row>
    <row r="20" spans="1:24" x14ac:dyDescent="0.3">
      <c r="A20" s="1">
        <v>19</v>
      </c>
      <c r="B20" s="1" t="s">
        <v>19</v>
      </c>
      <c r="C20" s="18">
        <v>3677</v>
      </c>
      <c r="D20" s="4">
        <v>10.3</v>
      </c>
      <c r="E20" s="4">
        <v>20.7</v>
      </c>
      <c r="F20" s="13">
        <v>0</v>
      </c>
      <c r="G20" s="13">
        <v>1</v>
      </c>
      <c r="H20" s="13">
        <v>0</v>
      </c>
      <c r="I20" s="1">
        <f t="shared" si="2"/>
        <v>1</v>
      </c>
      <c r="J20" s="6">
        <f t="shared" si="3"/>
        <v>2.1213203435596424</v>
      </c>
      <c r="K20" s="6">
        <f t="shared" si="4"/>
        <v>0</v>
      </c>
      <c r="L20" s="6">
        <f t="shared" si="5"/>
        <v>4.6518813398452021</v>
      </c>
      <c r="M20" s="23">
        <f t="shared" si="6"/>
        <v>0</v>
      </c>
      <c r="N20" s="23">
        <f t="shared" si="7"/>
        <v>3677</v>
      </c>
      <c r="O20" s="23">
        <f t="shared" si="8"/>
        <v>0</v>
      </c>
      <c r="P20" s="23">
        <f t="shared" si="9"/>
        <v>0</v>
      </c>
      <c r="Q20" s="23">
        <f t="shared" si="10"/>
        <v>0</v>
      </c>
      <c r="R20" s="23">
        <f t="shared" si="11"/>
        <v>0</v>
      </c>
      <c r="T20" s="36">
        <v>505383.07667787472</v>
      </c>
      <c r="U20" s="23">
        <v>1185935.985614541</v>
      </c>
      <c r="V20" s="23">
        <v>1525608.499204722</v>
      </c>
      <c r="W20" s="23">
        <f t="shared" si="12"/>
        <v>3216927.5614971379</v>
      </c>
      <c r="X20" s="41">
        <f t="shared" si="13"/>
        <v>679948.96805851418</v>
      </c>
    </row>
    <row r="21" spans="1:24" x14ac:dyDescent="0.3">
      <c r="A21" s="1">
        <v>20</v>
      </c>
      <c r="B21" s="1" t="s">
        <v>20</v>
      </c>
      <c r="C21" s="18">
        <v>3057</v>
      </c>
      <c r="D21" s="4">
        <v>11</v>
      </c>
      <c r="E21" s="4">
        <v>20.7</v>
      </c>
      <c r="F21" s="13">
        <v>0</v>
      </c>
      <c r="G21" s="13">
        <v>1</v>
      </c>
      <c r="H21" s="13">
        <v>0</v>
      </c>
      <c r="I21" s="1">
        <f t="shared" si="2"/>
        <v>1</v>
      </c>
      <c r="J21" s="6">
        <f t="shared" si="3"/>
        <v>2.6627053911388692</v>
      </c>
      <c r="K21" s="6">
        <f t="shared" si="4"/>
        <v>0.69999999999999929</v>
      </c>
      <c r="L21" s="6">
        <f t="shared" si="5"/>
        <v>4.0311288741492746</v>
      </c>
      <c r="M21" s="23">
        <f t="shared" si="6"/>
        <v>0</v>
      </c>
      <c r="N21" s="23">
        <f t="shared" si="7"/>
        <v>3057</v>
      </c>
      <c r="O21" s="23">
        <f t="shared" si="8"/>
        <v>0</v>
      </c>
      <c r="P21" s="23">
        <f t="shared" si="9"/>
        <v>0</v>
      </c>
      <c r="Q21" s="23">
        <f t="shared" si="10"/>
        <v>2139.8999999999978</v>
      </c>
      <c r="R21" s="23">
        <f t="shared" si="11"/>
        <v>0</v>
      </c>
      <c r="T21" s="36">
        <v>505383.07667787478</v>
      </c>
      <c r="U21" s="23">
        <v>914341.25545517984</v>
      </c>
      <c r="V21" s="23">
        <v>1555353.1894898028</v>
      </c>
      <c r="W21" s="23">
        <f t="shared" si="12"/>
        <v>2975077.5216228575</v>
      </c>
      <c r="X21" s="41">
        <f t="shared" si="13"/>
        <v>845491.02342327544</v>
      </c>
    </row>
    <row r="22" spans="1:24" x14ac:dyDescent="0.3">
      <c r="A22" s="1">
        <v>21</v>
      </c>
      <c r="B22" s="1" t="s">
        <v>21</v>
      </c>
      <c r="C22" s="18">
        <v>10269</v>
      </c>
      <c r="D22" s="4">
        <v>7.6</v>
      </c>
      <c r="E22" s="4">
        <v>20.100000000000001</v>
      </c>
      <c r="F22" s="13">
        <v>1</v>
      </c>
      <c r="G22" s="13">
        <v>0</v>
      </c>
      <c r="H22" s="13">
        <v>0</v>
      </c>
      <c r="I22" s="1">
        <f t="shared" si="2"/>
        <v>1</v>
      </c>
      <c r="J22" s="6">
        <f t="shared" si="3"/>
        <v>2.4186773244895639</v>
      </c>
      <c r="K22" s="6">
        <f t="shared" si="4"/>
        <v>2.7658633371878669</v>
      </c>
      <c r="L22" s="6">
        <f t="shared" si="5"/>
        <v>7.0405965656327743</v>
      </c>
      <c r="M22" s="23">
        <f t="shared" si="6"/>
        <v>10269</v>
      </c>
      <c r="N22" s="23">
        <f t="shared" si="7"/>
        <v>0</v>
      </c>
      <c r="O22" s="23">
        <f t="shared" si="8"/>
        <v>0</v>
      </c>
      <c r="P22" s="23">
        <f t="shared" si="9"/>
        <v>24837.397445183331</v>
      </c>
      <c r="Q22" s="23">
        <f t="shared" si="10"/>
        <v>0</v>
      </c>
      <c r="R22" s="23">
        <f t="shared" si="11"/>
        <v>0</v>
      </c>
      <c r="T22" s="36">
        <v>548158.20260632655</v>
      </c>
      <c r="U22" s="23">
        <v>1738813.1188371023</v>
      </c>
      <c r="V22" s="23">
        <v>699806.05316754279</v>
      </c>
      <c r="W22" s="23">
        <f t="shared" si="12"/>
        <v>2986777.3746109717</v>
      </c>
      <c r="X22" s="41">
        <f t="shared" si="13"/>
        <v>443679.60755417158</v>
      </c>
    </row>
    <row r="23" spans="1:24" x14ac:dyDescent="0.3">
      <c r="A23" s="1">
        <v>22</v>
      </c>
      <c r="B23" s="1" t="s">
        <v>22</v>
      </c>
      <c r="C23" s="18">
        <v>8062</v>
      </c>
      <c r="D23" s="4">
        <v>8.3000000000000007</v>
      </c>
      <c r="E23" s="4">
        <v>20.100000000000001</v>
      </c>
      <c r="F23" s="13">
        <v>1</v>
      </c>
      <c r="G23" s="13">
        <v>0</v>
      </c>
      <c r="H23" s="13">
        <v>0</v>
      </c>
      <c r="I23" s="1">
        <f t="shared" si="2"/>
        <v>1</v>
      </c>
      <c r="J23" s="6">
        <f t="shared" si="3"/>
        <v>2.1587033144922882</v>
      </c>
      <c r="K23" s="6">
        <f t="shared" si="4"/>
        <v>2.0880613017821097</v>
      </c>
      <c r="L23" s="6">
        <f t="shared" si="5"/>
        <v>6.3560994328282812</v>
      </c>
      <c r="M23" s="23">
        <f t="shared" si="6"/>
        <v>8062</v>
      </c>
      <c r="N23" s="23">
        <f t="shared" si="7"/>
        <v>0</v>
      </c>
      <c r="O23" s="23">
        <f t="shared" si="8"/>
        <v>0</v>
      </c>
      <c r="P23" s="23">
        <f t="shared" si="9"/>
        <v>17403.466121436828</v>
      </c>
      <c r="Q23" s="23">
        <f t="shared" si="10"/>
        <v>0</v>
      </c>
      <c r="R23" s="23">
        <f t="shared" si="11"/>
        <v>0</v>
      </c>
      <c r="T23" s="36">
        <v>537705.60903289961</v>
      </c>
      <c r="U23" s="23">
        <v>1738813.1188371023</v>
      </c>
      <c r="V23" s="23">
        <v>579503.51844076498</v>
      </c>
      <c r="W23" s="23">
        <f t="shared" si="12"/>
        <v>2856022.2463107668</v>
      </c>
      <c r="X23" s="41">
        <f t="shared" si="13"/>
        <v>558755.84549423598</v>
      </c>
    </row>
    <row r="24" spans="1:24" x14ac:dyDescent="0.3">
      <c r="A24" s="1">
        <v>23</v>
      </c>
      <c r="B24" s="1" t="s">
        <v>23</v>
      </c>
      <c r="C24" s="18">
        <v>7854</v>
      </c>
      <c r="D24" s="4">
        <v>9</v>
      </c>
      <c r="E24" s="4">
        <v>20.100000000000001</v>
      </c>
      <c r="F24" s="13">
        <v>0.49660470248705185</v>
      </c>
      <c r="G24" s="13">
        <v>0.50339529751294809</v>
      </c>
      <c r="H24" s="13">
        <v>0</v>
      </c>
      <c r="I24" s="1">
        <f t="shared" si="2"/>
        <v>1</v>
      </c>
      <c r="J24" s="6">
        <f t="shared" si="3"/>
        <v>2.1095023109728968</v>
      </c>
      <c r="K24" s="6">
        <f t="shared" si="4"/>
        <v>1.431782106327635</v>
      </c>
      <c r="L24" s="6">
        <f t="shared" si="5"/>
        <v>5.6753854494650851</v>
      </c>
      <c r="M24" s="23">
        <f t="shared" si="6"/>
        <v>3900.3333333333053</v>
      </c>
      <c r="N24" s="23">
        <f t="shared" si="7"/>
        <v>3953.6666666666943</v>
      </c>
      <c r="O24" s="23">
        <f t="shared" si="8"/>
        <v>0</v>
      </c>
      <c r="P24" s="23">
        <f t="shared" si="9"/>
        <v>8227.7621802312296</v>
      </c>
      <c r="Q24" s="23">
        <f t="shared" si="10"/>
        <v>5660.7891877173988</v>
      </c>
      <c r="R24" s="23">
        <f t="shared" si="11"/>
        <v>0</v>
      </c>
      <c r="T24" s="36">
        <v>511413.8508266327</v>
      </c>
      <c r="U24" s="23">
        <v>1753769.3502797817</v>
      </c>
      <c r="V24" s="23">
        <v>562743.69388452021</v>
      </c>
      <c r="W24" s="23">
        <f t="shared" si="12"/>
        <v>2827926.8949909345</v>
      </c>
      <c r="X24" s="41">
        <f t="shared" si="13"/>
        <v>569847.90666868689</v>
      </c>
    </row>
    <row r="25" spans="1:24" x14ac:dyDescent="0.3">
      <c r="A25" s="1">
        <v>24</v>
      </c>
      <c r="B25" s="1" t="s">
        <v>24</v>
      </c>
      <c r="C25" s="18">
        <v>1637</v>
      </c>
      <c r="D25" s="4">
        <v>9.6999999999999993</v>
      </c>
      <c r="E25" s="4">
        <v>20.100000000000001</v>
      </c>
      <c r="F25" s="13">
        <v>0</v>
      </c>
      <c r="G25" s="13">
        <v>1</v>
      </c>
      <c r="H25" s="13">
        <v>0</v>
      </c>
      <c r="I25" s="1">
        <f t="shared" si="2"/>
        <v>1</v>
      </c>
      <c r="J25" s="6">
        <f t="shared" si="3"/>
        <v>2.2847319317591701</v>
      </c>
      <c r="K25" s="6">
        <f t="shared" si="4"/>
        <v>0.84852813742385647</v>
      </c>
      <c r="L25" s="6">
        <f t="shared" si="5"/>
        <v>5.0000000000000009</v>
      </c>
      <c r="M25" s="23">
        <f t="shared" si="6"/>
        <v>0</v>
      </c>
      <c r="N25" s="23">
        <f t="shared" si="7"/>
        <v>1637</v>
      </c>
      <c r="O25" s="23">
        <f t="shared" si="8"/>
        <v>0</v>
      </c>
      <c r="P25" s="23">
        <f t="shared" si="9"/>
        <v>0</v>
      </c>
      <c r="Q25" s="23">
        <f t="shared" si="10"/>
        <v>1389.0405609628531</v>
      </c>
      <c r="R25" s="23">
        <f t="shared" si="11"/>
        <v>0</v>
      </c>
      <c r="T25" s="36">
        <v>476232.40254638967</v>
      </c>
      <c r="U25" s="23">
        <v>1777560.9449621479</v>
      </c>
      <c r="V25" s="23">
        <v>659914.21461116103</v>
      </c>
      <c r="W25" s="23">
        <f t="shared" si="12"/>
        <v>2913707.5621196986</v>
      </c>
      <c r="X25" s="41">
        <f t="shared" si="13"/>
        <v>466982.45914310776</v>
      </c>
    </row>
    <row r="26" spans="1:24" x14ac:dyDescent="0.3">
      <c r="A26" s="1">
        <v>25</v>
      </c>
      <c r="B26" s="1" t="s">
        <v>25</v>
      </c>
      <c r="C26" s="18">
        <v>3353</v>
      </c>
      <c r="D26" s="4">
        <v>10.4</v>
      </c>
      <c r="E26" s="4">
        <v>20.100000000000001</v>
      </c>
      <c r="F26" s="13">
        <v>0</v>
      </c>
      <c r="G26" s="13">
        <v>1</v>
      </c>
      <c r="H26" s="13">
        <v>0</v>
      </c>
      <c r="I26" s="1">
        <f t="shared" si="2"/>
        <v>1</v>
      </c>
      <c r="J26" s="6">
        <f t="shared" si="3"/>
        <v>2.6400757564888151</v>
      </c>
      <c r="K26" s="6">
        <f t="shared" si="4"/>
        <v>0.6082762530298198</v>
      </c>
      <c r="L26" s="6">
        <f t="shared" si="5"/>
        <v>4.3324358044868942</v>
      </c>
      <c r="M26" s="23">
        <f t="shared" si="6"/>
        <v>0</v>
      </c>
      <c r="N26" s="23">
        <f t="shared" si="7"/>
        <v>3353</v>
      </c>
      <c r="O26" s="23">
        <f t="shared" si="8"/>
        <v>0</v>
      </c>
      <c r="P26" s="23">
        <f t="shared" si="9"/>
        <v>0</v>
      </c>
      <c r="Q26" s="23">
        <f t="shared" si="10"/>
        <v>2039.5502764089858</v>
      </c>
      <c r="R26" s="23">
        <f t="shared" si="11"/>
        <v>0</v>
      </c>
      <c r="T26" s="36">
        <v>505383.07667787489</v>
      </c>
      <c r="U26" s="23">
        <v>1671419.9599286774</v>
      </c>
      <c r="V26" s="23">
        <v>879670.59089853847</v>
      </c>
      <c r="W26" s="23">
        <f t="shared" si="12"/>
        <v>3056473.6275050906</v>
      </c>
      <c r="X26" s="41">
        <f t="shared" si="13"/>
        <v>208730.92740473757</v>
      </c>
    </row>
    <row r="27" spans="1:24" x14ac:dyDescent="0.3">
      <c r="A27" s="1">
        <v>26</v>
      </c>
      <c r="B27" s="1" t="s">
        <v>26</v>
      </c>
      <c r="C27" s="18">
        <v>7041</v>
      </c>
      <c r="D27" s="4">
        <v>11</v>
      </c>
      <c r="E27" s="4">
        <v>20.100000000000001</v>
      </c>
      <c r="F27" s="13">
        <v>0</v>
      </c>
      <c r="G27" s="13">
        <v>1</v>
      </c>
      <c r="H27" s="13">
        <v>0</v>
      </c>
      <c r="I27" s="1">
        <f t="shared" si="2"/>
        <v>1</v>
      </c>
      <c r="J27" s="6">
        <f t="shared" si="3"/>
        <v>3.0413812651491079</v>
      </c>
      <c r="K27" s="6">
        <f t="shared" si="4"/>
        <v>0.92195444572928675</v>
      </c>
      <c r="L27" s="6">
        <f t="shared" si="5"/>
        <v>3.7696153649941535</v>
      </c>
      <c r="M27" s="23">
        <f t="shared" si="6"/>
        <v>0</v>
      </c>
      <c r="N27" s="23">
        <f t="shared" si="7"/>
        <v>7041</v>
      </c>
      <c r="O27" s="23">
        <f t="shared" si="8"/>
        <v>0</v>
      </c>
      <c r="P27" s="23">
        <f t="shared" si="9"/>
        <v>0</v>
      </c>
      <c r="Q27" s="23">
        <f t="shared" si="10"/>
        <v>6491.4812523799083</v>
      </c>
      <c r="R27" s="23">
        <f t="shared" si="11"/>
        <v>0</v>
      </c>
      <c r="T27" s="36">
        <v>505383.07667787495</v>
      </c>
      <c r="U27" s="23">
        <v>910335.42133865377</v>
      </c>
      <c r="V27" s="23">
        <v>1449763.6053766299</v>
      </c>
      <c r="W27" s="23">
        <f t="shared" si="12"/>
        <v>2865482.1033931589</v>
      </c>
      <c r="X27" s="41">
        <f t="shared" si="13"/>
        <v>741904.35636836546</v>
      </c>
    </row>
    <row r="28" spans="1:24" x14ac:dyDescent="0.3">
      <c r="A28" s="1">
        <v>27</v>
      </c>
      <c r="B28" s="1" t="s">
        <v>27</v>
      </c>
      <c r="C28" s="18">
        <v>7165</v>
      </c>
      <c r="D28" s="4">
        <v>7.5</v>
      </c>
      <c r="E28" s="4">
        <v>19.3</v>
      </c>
      <c r="F28" s="13">
        <v>1</v>
      </c>
      <c r="G28" s="13">
        <v>0</v>
      </c>
      <c r="H28" s="13">
        <v>0</v>
      </c>
      <c r="I28" s="1">
        <f t="shared" si="2"/>
        <v>1</v>
      </c>
      <c r="J28" s="6">
        <f t="shared" si="3"/>
        <v>3.1780497164141397</v>
      </c>
      <c r="K28" s="6">
        <f t="shared" si="4"/>
        <v>3.1304951684997055</v>
      </c>
      <c r="L28" s="6">
        <f t="shared" si="5"/>
        <v>7.0256672281001187</v>
      </c>
      <c r="M28" s="23">
        <f t="shared" si="6"/>
        <v>7165</v>
      </c>
      <c r="N28" s="23">
        <f t="shared" si="7"/>
        <v>0</v>
      </c>
      <c r="O28" s="23">
        <f t="shared" si="8"/>
        <v>0</v>
      </c>
      <c r="P28" s="23">
        <f t="shared" si="9"/>
        <v>22770.726218107309</v>
      </c>
      <c r="Q28" s="23">
        <f t="shared" si="10"/>
        <v>0</v>
      </c>
      <c r="R28" s="23">
        <f t="shared" si="11"/>
        <v>0</v>
      </c>
      <c r="T28" s="36">
        <v>530077.90173608484</v>
      </c>
      <c r="U28" s="23">
        <v>1740079.2948122337</v>
      </c>
      <c r="V28" s="23">
        <v>582041.15279236564</v>
      </c>
      <c r="W28" s="23">
        <f t="shared" si="12"/>
        <v>2852198.3493406842</v>
      </c>
      <c r="X28" s="41">
        <f t="shared" si="13"/>
        <v>553037.44548179361</v>
      </c>
    </row>
    <row r="29" spans="1:24" x14ac:dyDescent="0.3">
      <c r="A29" s="1">
        <v>28</v>
      </c>
      <c r="B29" s="1" t="s">
        <v>28</v>
      </c>
      <c r="C29" s="18">
        <v>13977</v>
      </c>
      <c r="D29" s="4">
        <v>8.1999999999999993</v>
      </c>
      <c r="E29" s="4">
        <v>19.3</v>
      </c>
      <c r="F29" s="13">
        <v>0.99999999999999989</v>
      </c>
      <c r="G29" s="13">
        <v>0</v>
      </c>
      <c r="H29" s="13">
        <v>0</v>
      </c>
      <c r="I29" s="1">
        <f t="shared" si="2"/>
        <v>0.99999999999999989</v>
      </c>
      <c r="J29" s="6">
        <f t="shared" si="3"/>
        <v>2.9614185789921681</v>
      </c>
      <c r="K29" s="6">
        <f t="shared" si="4"/>
        <v>2.5238858928247931</v>
      </c>
      <c r="L29" s="6">
        <f t="shared" si="5"/>
        <v>6.3285069329186969</v>
      </c>
      <c r="M29" s="23">
        <f t="shared" si="6"/>
        <v>13976.999999999998</v>
      </c>
      <c r="N29" s="23">
        <f t="shared" si="7"/>
        <v>0</v>
      </c>
      <c r="O29" s="23">
        <f t="shared" si="8"/>
        <v>0</v>
      </c>
      <c r="P29" s="23">
        <f t="shared" si="9"/>
        <v>41391.747478573525</v>
      </c>
      <c r="Q29" s="23">
        <f t="shared" si="10"/>
        <v>0</v>
      </c>
      <c r="R29" s="23">
        <f t="shared" si="11"/>
        <v>0</v>
      </c>
      <c r="T29" s="36">
        <v>530077.90173608484</v>
      </c>
      <c r="U29" s="23">
        <v>1740079.2948122337</v>
      </c>
      <c r="V29" s="23">
        <v>372520.75568893622</v>
      </c>
      <c r="W29" s="23">
        <f t="shared" si="12"/>
        <v>2642677.9522372549</v>
      </c>
      <c r="X29" s="41">
        <f t="shared" si="13"/>
        <v>762557.84258522303</v>
      </c>
    </row>
    <row r="30" spans="1:24" x14ac:dyDescent="0.3">
      <c r="A30" s="1">
        <v>29</v>
      </c>
      <c r="B30" s="1" t="s">
        <v>29</v>
      </c>
      <c r="C30" s="18">
        <v>36273</v>
      </c>
      <c r="D30" s="4">
        <v>8.9</v>
      </c>
      <c r="E30" s="4">
        <v>19.3</v>
      </c>
      <c r="F30" s="13">
        <v>0</v>
      </c>
      <c r="G30" s="13">
        <v>1</v>
      </c>
      <c r="H30" s="13">
        <v>0</v>
      </c>
      <c r="I30" s="1">
        <f t="shared" si="2"/>
        <v>1</v>
      </c>
      <c r="J30" s="6">
        <f t="shared" si="3"/>
        <v>2.9017236257093804</v>
      </c>
      <c r="K30" s="6">
        <f t="shared" si="4"/>
        <v>1.9798989873223323</v>
      </c>
      <c r="L30" s="6">
        <f t="shared" si="5"/>
        <v>5.6320511361314889</v>
      </c>
      <c r="M30" s="23">
        <f t="shared" si="6"/>
        <v>0</v>
      </c>
      <c r="N30" s="23">
        <f t="shared" si="7"/>
        <v>36273</v>
      </c>
      <c r="O30" s="23">
        <f t="shared" si="8"/>
        <v>0</v>
      </c>
      <c r="P30" s="23">
        <f t="shared" si="9"/>
        <v>0</v>
      </c>
      <c r="Q30" s="23">
        <f t="shared" si="10"/>
        <v>71816.875967142958</v>
      </c>
      <c r="R30" s="23">
        <f t="shared" si="11"/>
        <v>0</v>
      </c>
      <c r="T30" s="36">
        <v>470549.76384627895</v>
      </c>
      <c r="U30" s="23">
        <v>1780140.8415632851</v>
      </c>
      <c r="V30" s="23">
        <v>298232.9784586879</v>
      </c>
      <c r="W30" s="23">
        <f t="shared" si="12"/>
        <v>2548923.5838682521</v>
      </c>
      <c r="X30" s="41">
        <f t="shared" si="13"/>
        <v>827112.3242460941</v>
      </c>
    </row>
    <row r="31" spans="1:24" x14ac:dyDescent="0.3">
      <c r="A31" s="1">
        <v>30</v>
      </c>
      <c r="B31" s="1" t="s">
        <v>30</v>
      </c>
      <c r="C31" s="18">
        <v>6446</v>
      </c>
      <c r="D31" s="4">
        <v>9.6</v>
      </c>
      <c r="E31" s="4">
        <v>19.3</v>
      </c>
      <c r="F31" s="13">
        <v>0</v>
      </c>
      <c r="G31" s="13">
        <v>1</v>
      </c>
      <c r="H31" s="13">
        <v>0</v>
      </c>
      <c r="I31" s="1">
        <f t="shared" si="2"/>
        <v>1</v>
      </c>
      <c r="J31" s="6">
        <f t="shared" si="3"/>
        <v>3.0083217912982629</v>
      </c>
      <c r="K31" s="6">
        <f t="shared" si="4"/>
        <v>1.5652475842498519</v>
      </c>
      <c r="L31" s="6">
        <f t="shared" si="5"/>
        <v>4.9365980188789944</v>
      </c>
      <c r="M31" s="23">
        <f t="shared" si="6"/>
        <v>0</v>
      </c>
      <c r="N31" s="23">
        <f t="shared" si="7"/>
        <v>6446</v>
      </c>
      <c r="O31" s="23">
        <f t="shared" si="8"/>
        <v>0</v>
      </c>
      <c r="P31" s="23">
        <f t="shared" si="9"/>
        <v>0</v>
      </c>
      <c r="Q31" s="23">
        <f t="shared" si="10"/>
        <v>10089.585928074544</v>
      </c>
      <c r="R31" s="23">
        <f t="shared" si="11"/>
        <v>0</v>
      </c>
      <c r="T31" s="36">
        <v>473337.64494789904</v>
      </c>
      <c r="U31" s="23">
        <v>1768131.4706374845</v>
      </c>
      <c r="V31" s="23">
        <v>428838.227300503</v>
      </c>
      <c r="W31" s="23">
        <f t="shared" si="12"/>
        <v>2670307.3428858863</v>
      </c>
      <c r="X31" s="41">
        <f t="shared" si="13"/>
        <v>691896.33049218869</v>
      </c>
    </row>
    <row r="32" spans="1:24" x14ac:dyDescent="0.3">
      <c r="A32" s="1">
        <v>31</v>
      </c>
      <c r="B32" s="1" t="s">
        <v>31</v>
      </c>
      <c r="C32" s="18">
        <v>1210</v>
      </c>
      <c r="D32" s="4">
        <v>10.3</v>
      </c>
      <c r="E32" s="4">
        <v>19.3</v>
      </c>
      <c r="F32" s="13">
        <v>0</v>
      </c>
      <c r="G32" s="13">
        <v>1</v>
      </c>
      <c r="H32" s="13">
        <v>0</v>
      </c>
      <c r="I32" s="1">
        <f t="shared" si="2"/>
        <v>1</v>
      </c>
      <c r="J32" s="6">
        <f t="shared" si="3"/>
        <v>3.2649655434629001</v>
      </c>
      <c r="K32" s="6">
        <f t="shared" si="4"/>
        <v>1.3999999999999986</v>
      </c>
      <c r="L32" s="6">
        <f t="shared" si="5"/>
        <v>4.2426406871192848</v>
      </c>
      <c r="M32" s="23">
        <f t="shared" si="6"/>
        <v>0</v>
      </c>
      <c r="N32" s="23">
        <f t="shared" si="7"/>
        <v>1210</v>
      </c>
      <c r="O32" s="23">
        <f t="shared" si="8"/>
        <v>0</v>
      </c>
      <c r="P32" s="23">
        <f t="shared" si="9"/>
        <v>0</v>
      </c>
      <c r="Q32" s="23">
        <f t="shared" si="10"/>
        <v>1693.9999999999982</v>
      </c>
      <c r="R32" s="23">
        <f t="shared" si="11"/>
        <v>0</v>
      </c>
      <c r="T32" s="36">
        <v>505383.07667787489</v>
      </c>
      <c r="U32" s="23">
        <v>1699532.2595354621</v>
      </c>
      <c r="V32" s="23">
        <v>662112.50921547343</v>
      </c>
      <c r="W32" s="23">
        <f t="shared" si="12"/>
        <v>2867027.8454288105</v>
      </c>
      <c r="X32" s="41">
        <f t="shared" si="13"/>
        <v>440345.1588911952</v>
      </c>
    </row>
    <row r="33" spans="1:24" x14ac:dyDescent="0.3">
      <c r="A33" s="1">
        <v>32</v>
      </c>
      <c r="B33" s="1" t="s">
        <v>32</v>
      </c>
      <c r="C33" s="18">
        <v>1505</v>
      </c>
      <c r="D33" s="4">
        <v>11</v>
      </c>
      <c r="E33" s="4">
        <v>19.3</v>
      </c>
      <c r="F33" s="13">
        <v>0</v>
      </c>
      <c r="G33" s="13">
        <v>0</v>
      </c>
      <c r="H33" s="13">
        <v>1</v>
      </c>
      <c r="I33" s="1">
        <f t="shared" si="2"/>
        <v>1</v>
      </c>
      <c r="J33" s="6">
        <f t="shared" si="3"/>
        <v>3.6400549446402577</v>
      </c>
      <c r="K33" s="6">
        <f t="shared" si="4"/>
        <v>1.5652475842498512</v>
      </c>
      <c r="L33" s="6">
        <f t="shared" si="5"/>
        <v>3.5510561809129411</v>
      </c>
      <c r="M33" s="23">
        <f t="shared" si="6"/>
        <v>0</v>
      </c>
      <c r="N33" s="23">
        <f t="shared" si="7"/>
        <v>0</v>
      </c>
      <c r="O33" s="23">
        <f t="shared" si="8"/>
        <v>1505</v>
      </c>
      <c r="P33" s="23">
        <f t="shared" si="9"/>
        <v>0</v>
      </c>
      <c r="Q33" s="23">
        <f t="shared" si="10"/>
        <v>0</v>
      </c>
      <c r="R33" s="23">
        <f t="shared" si="11"/>
        <v>5344.3395522739766</v>
      </c>
      <c r="T33" s="36">
        <v>505383.07667787484</v>
      </c>
      <c r="U33" s="23">
        <v>902492.7971291627</v>
      </c>
      <c r="V33" s="23">
        <v>1374954.2771224303</v>
      </c>
      <c r="W33" s="23">
        <f t="shared" si="12"/>
        <v>2782830.1509294678</v>
      </c>
      <c r="X33" s="41">
        <f t="shared" si="13"/>
        <v>671016.34021891153</v>
      </c>
    </row>
    <row r="34" spans="1:24" x14ac:dyDescent="0.3">
      <c r="A34" s="1">
        <v>33</v>
      </c>
      <c r="B34" s="1" t="s">
        <v>33</v>
      </c>
      <c r="C34" s="18">
        <v>1336</v>
      </c>
      <c r="D34" s="4">
        <v>11.7</v>
      </c>
      <c r="E34" s="4">
        <v>19.100000000000001</v>
      </c>
      <c r="F34" s="13">
        <v>0</v>
      </c>
      <c r="G34" s="13">
        <v>0</v>
      </c>
      <c r="H34" s="13">
        <v>1</v>
      </c>
      <c r="I34" s="1">
        <f t="shared" si="2"/>
        <v>1</v>
      </c>
      <c r="J34" s="6">
        <f t="shared" si="3"/>
        <v>4.2449970553582226</v>
      </c>
      <c r="K34" s="6">
        <f t="shared" si="4"/>
        <v>2.1260291625469274</v>
      </c>
      <c r="L34" s="6">
        <f t="shared" si="5"/>
        <v>2.8284271247461912</v>
      </c>
      <c r="M34" s="23">
        <f t="shared" si="6"/>
        <v>0</v>
      </c>
      <c r="N34" s="23">
        <f t="shared" si="7"/>
        <v>0</v>
      </c>
      <c r="O34" s="23">
        <f t="shared" si="8"/>
        <v>1336</v>
      </c>
      <c r="P34" s="23">
        <f t="shared" si="9"/>
        <v>0</v>
      </c>
      <c r="Q34" s="23">
        <f t="shared" si="10"/>
        <v>0</v>
      </c>
      <c r="R34" s="23">
        <f t="shared" si="11"/>
        <v>3778.7786386609114</v>
      </c>
      <c r="T34" s="36">
        <v>505383.07667787466</v>
      </c>
      <c r="U34" s="23">
        <v>901508.34795099997</v>
      </c>
      <c r="V34" s="23">
        <v>1104486.1556568025</v>
      </c>
      <c r="W34" s="23">
        <f t="shared" si="12"/>
        <v>2511377.5802856772</v>
      </c>
      <c r="X34" s="41">
        <f t="shared" si="13"/>
        <v>401040.44334236509</v>
      </c>
    </row>
    <row r="35" spans="1:24" x14ac:dyDescent="0.3">
      <c r="A35" s="1">
        <v>34</v>
      </c>
      <c r="B35" s="1" t="s">
        <v>34</v>
      </c>
      <c r="C35" s="18">
        <v>4139</v>
      </c>
      <c r="D35" s="4">
        <v>11.7</v>
      </c>
      <c r="E35" s="4">
        <v>19.600000000000001</v>
      </c>
      <c r="F35" s="13">
        <v>0</v>
      </c>
      <c r="G35" s="13">
        <v>0</v>
      </c>
      <c r="H35" s="13">
        <v>1</v>
      </c>
      <c r="I35" s="1">
        <f t="shared" si="2"/>
        <v>1</v>
      </c>
      <c r="J35" s="6">
        <f t="shared" si="3"/>
        <v>3.8948684188300868</v>
      </c>
      <c r="K35" s="6">
        <f t="shared" si="4"/>
        <v>1.780449381476483</v>
      </c>
      <c r="L35" s="6">
        <f t="shared" si="5"/>
        <v>2.9410882339705497</v>
      </c>
      <c r="M35" s="23">
        <f t="shared" si="6"/>
        <v>0</v>
      </c>
      <c r="N35" s="23">
        <f t="shared" si="7"/>
        <v>0</v>
      </c>
      <c r="O35" s="23">
        <f t="shared" si="8"/>
        <v>4139</v>
      </c>
      <c r="P35" s="23">
        <f t="shared" si="9"/>
        <v>0</v>
      </c>
      <c r="Q35" s="23">
        <f t="shared" si="10"/>
        <v>0</v>
      </c>
      <c r="R35" s="23">
        <f t="shared" si="11"/>
        <v>12173.164200404106</v>
      </c>
      <c r="T35" s="36">
        <v>505383.07667787466</v>
      </c>
      <c r="U35" s="23">
        <v>907562.69478575245</v>
      </c>
      <c r="V35" s="23">
        <v>1136196.7542940858</v>
      </c>
      <c r="W35" s="23">
        <f t="shared" si="12"/>
        <v>2549142.5257577128</v>
      </c>
      <c r="X35" s="41">
        <f t="shared" si="13"/>
        <v>429723.86856227228</v>
      </c>
    </row>
    <row r="36" spans="1:24" x14ac:dyDescent="0.3">
      <c r="A36" s="1">
        <v>35</v>
      </c>
      <c r="B36" s="1" t="s">
        <v>35</v>
      </c>
      <c r="C36" s="18">
        <v>13535</v>
      </c>
      <c r="D36" s="4">
        <v>12.3</v>
      </c>
      <c r="E36" s="4">
        <v>19.3</v>
      </c>
      <c r="F36" s="13">
        <v>0</v>
      </c>
      <c r="G36" s="13">
        <v>0</v>
      </c>
      <c r="H36" s="13">
        <v>1</v>
      </c>
      <c r="I36" s="1">
        <f t="shared" si="2"/>
        <v>1</v>
      </c>
      <c r="J36" s="6">
        <f t="shared" si="3"/>
        <v>4.5453272709454033</v>
      </c>
      <c r="K36" s="6">
        <f t="shared" si="4"/>
        <v>2.4413111231467397</v>
      </c>
      <c r="L36" s="6">
        <f t="shared" si="5"/>
        <v>2.2803508501982757</v>
      </c>
      <c r="M36" s="23">
        <f t="shared" si="6"/>
        <v>0</v>
      </c>
      <c r="N36" s="23">
        <f t="shared" si="7"/>
        <v>0</v>
      </c>
      <c r="O36" s="23">
        <f t="shared" si="8"/>
        <v>13535</v>
      </c>
      <c r="P36" s="23">
        <f t="shared" si="9"/>
        <v>0</v>
      </c>
      <c r="Q36" s="23">
        <f t="shared" si="10"/>
        <v>0</v>
      </c>
      <c r="R36" s="23">
        <f t="shared" si="11"/>
        <v>30864.548757433662</v>
      </c>
      <c r="T36" s="36">
        <v>505383.07667787472</v>
      </c>
      <c r="U36" s="23">
        <v>901508.34795100009</v>
      </c>
      <c r="V36" s="23">
        <v>899821.99668616336</v>
      </c>
      <c r="W36" s="23">
        <f t="shared" si="12"/>
        <v>2306713.4213150381</v>
      </c>
      <c r="X36" s="41">
        <f t="shared" si="13"/>
        <v>196376.28437172598</v>
      </c>
    </row>
    <row r="37" spans="1:24" x14ac:dyDescent="0.3">
      <c r="A37" s="1">
        <v>36</v>
      </c>
      <c r="B37" s="1" t="s">
        <v>36</v>
      </c>
      <c r="C37" s="18">
        <v>131500</v>
      </c>
      <c r="D37" s="4">
        <v>13.1</v>
      </c>
      <c r="E37" s="4">
        <v>19.100000000000001</v>
      </c>
      <c r="F37" s="13">
        <v>0</v>
      </c>
      <c r="G37" s="13">
        <v>0</v>
      </c>
      <c r="H37" s="13">
        <v>1</v>
      </c>
      <c r="I37" s="1">
        <f t="shared" si="2"/>
        <v>1</v>
      </c>
      <c r="J37" s="6">
        <f t="shared" si="3"/>
        <v>5.3009433122794265</v>
      </c>
      <c r="K37" s="6">
        <f t="shared" si="4"/>
        <v>3.2249030993194179</v>
      </c>
      <c r="L37" s="6">
        <f t="shared" si="5"/>
        <v>1.4560219778561045</v>
      </c>
      <c r="M37" s="23">
        <f t="shared" si="6"/>
        <v>0</v>
      </c>
      <c r="N37" s="23">
        <f t="shared" si="7"/>
        <v>0</v>
      </c>
      <c r="O37" s="23">
        <f t="shared" si="8"/>
        <v>131500</v>
      </c>
      <c r="P37" s="23">
        <f t="shared" si="9"/>
        <v>0</v>
      </c>
      <c r="Q37" s="23">
        <f t="shared" si="10"/>
        <v>0</v>
      </c>
      <c r="R37" s="23">
        <f t="shared" si="11"/>
        <v>191466.89008807775</v>
      </c>
      <c r="T37" s="36">
        <v>505383.07667787472</v>
      </c>
      <c r="U37" s="23">
        <v>901508.34795100009</v>
      </c>
      <c r="V37" s="23">
        <v>627815.34874811955</v>
      </c>
      <c r="W37" s="23">
        <f t="shared" si="12"/>
        <v>2034706.7733769943</v>
      </c>
      <c r="X37" s="41">
        <f t="shared" si="13"/>
        <v>75630.363566317828</v>
      </c>
    </row>
    <row r="38" spans="1:24" x14ac:dyDescent="0.3">
      <c r="A38" s="1">
        <v>37</v>
      </c>
      <c r="B38" s="1" t="s">
        <v>37</v>
      </c>
      <c r="C38" s="18">
        <v>3127</v>
      </c>
      <c r="D38" s="4">
        <v>7.5</v>
      </c>
      <c r="E38" s="4">
        <v>18.600000000000001</v>
      </c>
      <c r="F38" s="13">
        <v>1</v>
      </c>
      <c r="G38" s="13">
        <v>0</v>
      </c>
      <c r="H38" s="13">
        <v>0</v>
      </c>
      <c r="I38" s="1">
        <f t="shared" si="2"/>
        <v>1</v>
      </c>
      <c r="J38" s="6">
        <f t="shared" si="3"/>
        <v>3.8275318418009259</v>
      </c>
      <c r="K38" s="6">
        <f t="shared" si="4"/>
        <v>3.4999999999999996</v>
      </c>
      <c r="L38" s="6">
        <f t="shared" si="5"/>
        <v>7.0007142492748553</v>
      </c>
      <c r="M38" s="23">
        <f t="shared" si="6"/>
        <v>3127</v>
      </c>
      <c r="N38" s="23">
        <f t="shared" si="7"/>
        <v>0</v>
      </c>
      <c r="O38" s="23">
        <f t="shared" si="8"/>
        <v>0</v>
      </c>
      <c r="P38" s="23">
        <f t="shared" si="9"/>
        <v>11968.692069311495</v>
      </c>
      <c r="Q38" s="23">
        <f t="shared" si="10"/>
        <v>0</v>
      </c>
      <c r="R38" s="23">
        <f t="shared" si="11"/>
        <v>0</v>
      </c>
      <c r="T38" s="36">
        <v>513568.14957645792</v>
      </c>
      <c r="U38" s="23">
        <v>1750566.4042632161</v>
      </c>
      <c r="V38" s="23">
        <v>560217.24147045845</v>
      </c>
      <c r="W38" s="23">
        <f t="shared" si="12"/>
        <v>2824351.7953101327</v>
      </c>
      <c r="X38" s="41">
        <f t="shared" si="13"/>
        <v>571850.03544937866</v>
      </c>
    </row>
    <row r="39" spans="1:24" x14ac:dyDescent="0.3">
      <c r="A39" s="1">
        <v>38</v>
      </c>
      <c r="B39" s="1" t="s">
        <v>38</v>
      </c>
      <c r="C39" s="18">
        <v>22935</v>
      </c>
      <c r="D39" s="4">
        <v>8.1999999999999993</v>
      </c>
      <c r="E39" s="4">
        <v>18.600000000000001</v>
      </c>
      <c r="F39" s="13">
        <v>0</v>
      </c>
      <c r="G39" s="13">
        <v>0.99999999999999933</v>
      </c>
      <c r="H39" s="13">
        <v>0</v>
      </c>
      <c r="I39" s="1">
        <f t="shared" si="2"/>
        <v>0.99999999999999933</v>
      </c>
      <c r="J39" s="6">
        <f t="shared" si="3"/>
        <v>3.6496575181789299</v>
      </c>
      <c r="K39" s="6">
        <f t="shared" si="4"/>
        <v>2.9698484809834991</v>
      </c>
      <c r="L39" s="6">
        <f t="shared" si="5"/>
        <v>6.3007936008093468</v>
      </c>
      <c r="M39" s="23">
        <f t="shared" si="6"/>
        <v>0</v>
      </c>
      <c r="N39" s="23">
        <f t="shared" si="7"/>
        <v>22934.999999999985</v>
      </c>
      <c r="O39" s="23">
        <f t="shared" si="8"/>
        <v>0</v>
      </c>
      <c r="P39" s="23">
        <f t="shared" si="9"/>
        <v>0</v>
      </c>
      <c r="Q39" s="23">
        <f t="shared" si="10"/>
        <v>68113.474911356505</v>
      </c>
      <c r="R39" s="23">
        <f t="shared" si="11"/>
        <v>0</v>
      </c>
      <c r="T39" s="36">
        <v>482066.40986652608</v>
      </c>
      <c r="U39" s="23">
        <v>1769067.9378145763</v>
      </c>
      <c r="V39" s="23">
        <v>327352.57451722689</v>
      </c>
      <c r="W39" s="23">
        <f t="shared" si="12"/>
        <v>2578486.9221983291</v>
      </c>
      <c r="X39" s="41">
        <f t="shared" si="13"/>
        <v>798214.59932332428</v>
      </c>
    </row>
    <row r="40" spans="1:24" x14ac:dyDescent="0.3">
      <c r="A40" s="1">
        <v>39</v>
      </c>
      <c r="B40" s="1" t="s">
        <v>39</v>
      </c>
      <c r="C40" s="18">
        <v>278831</v>
      </c>
      <c r="D40" s="4">
        <v>8.9</v>
      </c>
      <c r="E40" s="4">
        <v>18.600000000000001</v>
      </c>
      <c r="F40" s="13">
        <v>0</v>
      </c>
      <c r="G40" s="13">
        <v>1.0000000000000007</v>
      </c>
      <c r="H40" s="13">
        <v>0</v>
      </c>
      <c r="I40" s="1">
        <f t="shared" si="2"/>
        <v>1.0000000000000007</v>
      </c>
      <c r="J40" s="6">
        <f t="shared" si="3"/>
        <v>3.6013886210738191</v>
      </c>
      <c r="K40" s="6">
        <f t="shared" si="4"/>
        <v>2.5238858928247909</v>
      </c>
      <c r="L40" s="6">
        <f t="shared" si="5"/>
        <v>5.6008927859761783</v>
      </c>
      <c r="M40" s="23">
        <f t="shared" si="6"/>
        <v>0</v>
      </c>
      <c r="N40" s="23">
        <f t="shared" si="7"/>
        <v>278831.00000000017</v>
      </c>
      <c r="O40" s="23">
        <f t="shared" si="8"/>
        <v>0</v>
      </c>
      <c r="P40" s="23">
        <f t="shared" si="9"/>
        <v>0</v>
      </c>
      <c r="Q40" s="23">
        <f t="shared" si="10"/>
        <v>703737.62738222966</v>
      </c>
      <c r="R40" s="23">
        <f t="shared" si="11"/>
        <v>0</v>
      </c>
      <c r="T40" s="36">
        <v>470091.99530414562</v>
      </c>
      <c r="U40" s="23">
        <v>1770993.0385341737</v>
      </c>
      <c r="V40" s="23">
        <v>142711.16418436283</v>
      </c>
      <c r="W40" s="23">
        <f t="shared" si="12"/>
        <v>2383796.1980226822</v>
      </c>
      <c r="X40" s="41">
        <f t="shared" si="13"/>
        <v>977831.35273479694</v>
      </c>
    </row>
    <row r="41" spans="1:24" x14ac:dyDescent="0.3">
      <c r="A41" s="1">
        <v>40</v>
      </c>
      <c r="B41" s="1" t="s">
        <v>40</v>
      </c>
      <c r="C41" s="18">
        <v>6059</v>
      </c>
      <c r="D41" s="4">
        <v>9.6</v>
      </c>
      <c r="E41" s="4">
        <v>18.600000000000001</v>
      </c>
      <c r="F41" s="13">
        <v>0</v>
      </c>
      <c r="G41" s="13">
        <v>0.22638499202284704</v>
      </c>
      <c r="H41" s="13">
        <v>0.77361500797715299</v>
      </c>
      <c r="I41" s="1">
        <f t="shared" si="2"/>
        <v>1</v>
      </c>
      <c r="J41" s="6">
        <f t="shared" si="3"/>
        <v>3.6878177829171528</v>
      </c>
      <c r="K41" s="6">
        <f t="shared" si="4"/>
        <v>2.2135943621178638</v>
      </c>
      <c r="L41" s="6">
        <f t="shared" si="5"/>
        <v>4.9010203019371392</v>
      </c>
      <c r="M41" s="23">
        <f t="shared" si="6"/>
        <v>0</v>
      </c>
      <c r="N41" s="23">
        <f t="shared" si="7"/>
        <v>1371.6666666664303</v>
      </c>
      <c r="O41" s="23">
        <f t="shared" si="8"/>
        <v>4687.3333333335704</v>
      </c>
      <c r="P41" s="23">
        <f t="shared" si="9"/>
        <v>0</v>
      </c>
      <c r="Q41" s="23">
        <f t="shared" si="10"/>
        <v>3036.3136000378131</v>
      </c>
      <c r="R41" s="23">
        <f t="shared" si="11"/>
        <v>22972.715828614513</v>
      </c>
      <c r="T41" s="36">
        <v>471220.0401401245</v>
      </c>
      <c r="U41" s="23">
        <v>1752258.3506492572</v>
      </c>
      <c r="V41" s="23">
        <v>376059.29245180165</v>
      </c>
      <c r="W41" s="23">
        <f t="shared" si="12"/>
        <v>2599537.6832411834</v>
      </c>
      <c r="X41" s="41">
        <f t="shared" si="13"/>
        <v>735679.90294288914</v>
      </c>
    </row>
    <row r="42" spans="1:24" x14ac:dyDescent="0.3">
      <c r="A42" s="1">
        <v>41</v>
      </c>
      <c r="B42" s="1" t="s">
        <v>41</v>
      </c>
      <c r="C42" s="18">
        <v>2444</v>
      </c>
      <c r="D42" s="4">
        <v>10.3</v>
      </c>
      <c r="E42" s="4">
        <v>18.600000000000001</v>
      </c>
      <c r="F42" s="13">
        <v>0</v>
      </c>
      <c r="G42" s="13">
        <v>0</v>
      </c>
      <c r="H42" s="13">
        <v>0.99999999999999989</v>
      </c>
      <c r="I42" s="1">
        <f t="shared" si="2"/>
        <v>0.99999999999999989</v>
      </c>
      <c r="J42" s="6">
        <f t="shared" si="3"/>
        <v>3.8999999999999981</v>
      </c>
      <c r="K42" s="6">
        <f t="shared" si="4"/>
        <v>2.0999999999999979</v>
      </c>
      <c r="L42" s="6">
        <f t="shared" si="5"/>
        <v>4.2011903075200001</v>
      </c>
      <c r="M42" s="23">
        <f t="shared" si="6"/>
        <v>0</v>
      </c>
      <c r="N42" s="23">
        <f t="shared" si="7"/>
        <v>0</v>
      </c>
      <c r="O42" s="23">
        <f t="shared" si="8"/>
        <v>2443.9999999999995</v>
      </c>
      <c r="P42" s="23">
        <f t="shared" si="9"/>
        <v>0</v>
      </c>
      <c r="Q42" s="23">
        <f t="shared" si="10"/>
        <v>0</v>
      </c>
      <c r="R42" s="23">
        <f t="shared" si="11"/>
        <v>10267.709111578879</v>
      </c>
      <c r="T42" s="36">
        <v>505383.07667787478</v>
      </c>
      <c r="U42" s="23">
        <v>1551954.7788113914</v>
      </c>
      <c r="V42" s="23">
        <v>763411.05680934608</v>
      </c>
      <c r="W42" s="23">
        <f t="shared" si="12"/>
        <v>2820748.9122986123</v>
      </c>
      <c r="X42" s="41">
        <f t="shared" si="13"/>
        <v>265257.87093528698</v>
      </c>
    </row>
    <row r="43" spans="1:24" x14ac:dyDescent="0.3">
      <c r="A43" s="1">
        <v>42</v>
      </c>
      <c r="B43" s="1" t="s">
        <v>42</v>
      </c>
      <c r="C43" s="18">
        <v>286</v>
      </c>
      <c r="D43" s="4">
        <v>11</v>
      </c>
      <c r="E43" s="4">
        <v>18.600000000000001</v>
      </c>
      <c r="F43" s="13">
        <v>0</v>
      </c>
      <c r="G43" s="13">
        <v>0</v>
      </c>
      <c r="H43" s="13">
        <v>0.99999999999983091</v>
      </c>
      <c r="I43" s="1">
        <f t="shared" si="2"/>
        <v>0.99999999999983091</v>
      </c>
      <c r="J43" s="6">
        <f t="shared" si="3"/>
        <v>4.2190046219457953</v>
      </c>
      <c r="K43" s="6">
        <f t="shared" si="4"/>
        <v>2.2135943621178633</v>
      </c>
      <c r="L43" s="6">
        <f t="shared" si="5"/>
        <v>3.5014282800023193</v>
      </c>
      <c r="M43" s="23">
        <f t="shared" si="6"/>
        <v>0</v>
      </c>
      <c r="N43" s="23">
        <f t="shared" si="7"/>
        <v>0</v>
      </c>
      <c r="O43" s="23">
        <f t="shared" si="8"/>
        <v>285.99999999995163</v>
      </c>
      <c r="P43" s="23">
        <f t="shared" si="9"/>
        <v>0</v>
      </c>
      <c r="Q43" s="23">
        <f t="shared" si="10"/>
        <v>0</v>
      </c>
      <c r="R43" s="23">
        <f t="shared" si="11"/>
        <v>1001.408488080494</v>
      </c>
      <c r="T43" s="36">
        <v>505383.07667787472</v>
      </c>
      <c r="U43" s="23">
        <v>900914.21741922048</v>
      </c>
      <c r="V43" s="23">
        <v>1372507.7718907837</v>
      </c>
      <c r="W43" s="23">
        <f t="shared" si="12"/>
        <v>2778805.0659878789</v>
      </c>
      <c r="X43" s="41">
        <f t="shared" si="13"/>
        <v>669359.12484223605</v>
      </c>
    </row>
    <row r="44" spans="1:24" x14ac:dyDescent="0.3">
      <c r="A44" s="1">
        <v>43</v>
      </c>
      <c r="B44" s="1" t="s">
        <v>43</v>
      </c>
      <c r="C44" s="18">
        <v>3719</v>
      </c>
      <c r="D44" s="4">
        <v>11.7</v>
      </c>
      <c r="E44" s="4">
        <v>18.600000000000001</v>
      </c>
      <c r="F44" s="13">
        <v>0</v>
      </c>
      <c r="G44" s="13">
        <v>0</v>
      </c>
      <c r="H44" s="13">
        <v>1</v>
      </c>
      <c r="I44" s="1">
        <f t="shared" si="2"/>
        <v>1</v>
      </c>
      <c r="J44" s="6">
        <f t="shared" si="3"/>
        <v>4.6227697325304851</v>
      </c>
      <c r="K44" s="6">
        <f t="shared" si="4"/>
        <v>2.52388589282479</v>
      </c>
      <c r="L44" s="6">
        <f t="shared" si="5"/>
        <v>2.8017851452243807</v>
      </c>
      <c r="M44" s="23">
        <f t="shared" si="6"/>
        <v>0</v>
      </c>
      <c r="N44" s="23">
        <f t="shared" si="7"/>
        <v>0</v>
      </c>
      <c r="O44" s="23">
        <f t="shared" si="8"/>
        <v>3719</v>
      </c>
      <c r="P44" s="23">
        <f t="shared" si="9"/>
        <v>0</v>
      </c>
      <c r="Q44" s="23">
        <f t="shared" si="10"/>
        <v>0</v>
      </c>
      <c r="R44" s="23">
        <f t="shared" si="11"/>
        <v>10419.838955089472</v>
      </c>
      <c r="T44" s="36">
        <v>505383.07667787472</v>
      </c>
      <c r="U44" s="23">
        <v>901508.34795099997</v>
      </c>
      <c r="V44" s="23">
        <v>1112502.7015644051</v>
      </c>
      <c r="W44" s="23">
        <f t="shared" si="12"/>
        <v>2519394.1261932799</v>
      </c>
      <c r="X44" s="41">
        <f t="shared" si="13"/>
        <v>409056.98924996774</v>
      </c>
    </row>
    <row r="45" spans="1:24" x14ac:dyDescent="0.3">
      <c r="A45" s="1">
        <v>44</v>
      </c>
      <c r="B45" s="1" t="s">
        <v>44</v>
      </c>
      <c r="C45" s="18">
        <v>3726</v>
      </c>
      <c r="D45" s="4">
        <v>12.4</v>
      </c>
      <c r="E45" s="4">
        <v>18.600000000000001</v>
      </c>
      <c r="F45" s="13">
        <v>0</v>
      </c>
      <c r="G45" s="13">
        <v>0</v>
      </c>
      <c r="H45" s="13">
        <v>1</v>
      </c>
      <c r="I45" s="1">
        <f t="shared" si="2"/>
        <v>1</v>
      </c>
      <c r="J45" s="6">
        <f t="shared" si="3"/>
        <v>5.0911688245431401</v>
      </c>
      <c r="K45" s="6">
        <f t="shared" si="4"/>
        <v>2.9698484809834977</v>
      </c>
      <c r="L45" s="6">
        <f t="shared" si="5"/>
        <v>2.1023796041628633</v>
      </c>
      <c r="M45" s="23">
        <f t="shared" si="6"/>
        <v>0</v>
      </c>
      <c r="N45" s="23">
        <f t="shared" si="7"/>
        <v>0</v>
      </c>
      <c r="O45" s="23">
        <f t="shared" si="8"/>
        <v>3726</v>
      </c>
      <c r="P45" s="23">
        <f t="shared" si="9"/>
        <v>0</v>
      </c>
      <c r="Q45" s="23">
        <f t="shared" si="10"/>
        <v>0</v>
      </c>
      <c r="R45" s="23">
        <f t="shared" si="11"/>
        <v>7833.4664051108284</v>
      </c>
      <c r="T45" s="36">
        <v>505383.07667787466</v>
      </c>
      <c r="U45" s="23">
        <v>901508.34795099997</v>
      </c>
      <c r="V45" s="23">
        <v>871808.71015475236</v>
      </c>
      <c r="W45" s="23">
        <f t="shared" si="12"/>
        <v>2278700.134783627</v>
      </c>
      <c r="X45" s="41">
        <f t="shared" si="13"/>
        <v>168362.99784031499</v>
      </c>
    </row>
    <row r="46" spans="1:24" x14ac:dyDescent="0.3">
      <c r="A46" s="1">
        <v>45</v>
      </c>
      <c r="B46" s="1" t="s">
        <v>45</v>
      </c>
      <c r="C46" s="18">
        <v>9054</v>
      </c>
      <c r="D46" s="4">
        <v>13</v>
      </c>
      <c r="E46" s="4">
        <v>18.600000000000001</v>
      </c>
      <c r="F46" s="13">
        <v>0</v>
      </c>
      <c r="G46" s="13">
        <v>0</v>
      </c>
      <c r="H46" s="13">
        <v>1</v>
      </c>
      <c r="I46" s="1">
        <f t="shared" si="2"/>
        <v>1</v>
      </c>
      <c r="J46" s="6">
        <f t="shared" si="3"/>
        <v>5.5317266743757303</v>
      </c>
      <c r="K46" s="6">
        <f t="shared" si="4"/>
        <v>3.4205262752974122</v>
      </c>
      <c r="L46" s="6">
        <f t="shared" si="5"/>
        <v>1.5033296378372907</v>
      </c>
      <c r="M46" s="23">
        <f t="shared" si="6"/>
        <v>0</v>
      </c>
      <c r="N46" s="23">
        <f t="shared" si="7"/>
        <v>0</v>
      </c>
      <c r="O46" s="23">
        <f t="shared" si="8"/>
        <v>9054</v>
      </c>
      <c r="P46" s="23">
        <f t="shared" si="9"/>
        <v>0</v>
      </c>
      <c r="Q46" s="23">
        <f t="shared" si="10"/>
        <v>0</v>
      </c>
      <c r="R46" s="23">
        <f t="shared" si="11"/>
        <v>13611.146540978831</v>
      </c>
      <c r="T46" s="36">
        <v>505383.07667787466</v>
      </c>
      <c r="U46" s="23">
        <v>901508.34795099997</v>
      </c>
      <c r="V46" s="23">
        <v>702245.2250359013</v>
      </c>
      <c r="W46" s="23">
        <f t="shared" si="12"/>
        <v>2109136.6496647759</v>
      </c>
      <c r="X46" s="41">
        <f t="shared" si="13"/>
        <v>1200.4872785360785</v>
      </c>
    </row>
    <row r="47" spans="1:24" x14ac:dyDescent="0.3">
      <c r="A47" s="1">
        <v>46</v>
      </c>
      <c r="B47" s="1" t="s">
        <v>46</v>
      </c>
      <c r="C47" s="18">
        <v>10752</v>
      </c>
      <c r="D47" s="4">
        <v>13.8</v>
      </c>
      <c r="E47" s="4">
        <v>18.8</v>
      </c>
      <c r="F47" s="13">
        <v>0</v>
      </c>
      <c r="G47" s="13">
        <v>0</v>
      </c>
      <c r="H47" s="13">
        <v>1</v>
      </c>
      <c r="I47" s="1">
        <f t="shared" si="2"/>
        <v>1</v>
      </c>
      <c r="J47" s="6">
        <f t="shared" si="3"/>
        <v>6.0464865831323884</v>
      </c>
      <c r="K47" s="6">
        <f t="shared" si="4"/>
        <v>3.9824615503479746</v>
      </c>
      <c r="L47" s="6">
        <f t="shared" si="5"/>
        <v>0.70710678118654702</v>
      </c>
      <c r="M47" s="23">
        <f t="shared" si="6"/>
        <v>0</v>
      </c>
      <c r="N47" s="23">
        <f t="shared" si="7"/>
        <v>0</v>
      </c>
      <c r="O47" s="23">
        <f t="shared" si="8"/>
        <v>10752</v>
      </c>
      <c r="P47" s="23">
        <f t="shared" si="9"/>
        <v>0</v>
      </c>
      <c r="Q47" s="23">
        <f t="shared" si="10"/>
        <v>0</v>
      </c>
      <c r="R47" s="23">
        <f t="shared" si="11"/>
        <v>7602.8121113177531</v>
      </c>
      <c r="T47" s="36">
        <v>505383.07667787472</v>
      </c>
      <c r="U47" s="23">
        <v>901508.34795100009</v>
      </c>
      <c r="V47" s="23">
        <v>590287.86512393318</v>
      </c>
      <c r="W47" s="23">
        <f t="shared" si="12"/>
        <v>1997179.2897528079</v>
      </c>
      <c r="X47" s="41">
        <f t="shared" si="13"/>
        <v>113157.8471905042</v>
      </c>
    </row>
    <row r="48" spans="1:24" x14ac:dyDescent="0.3">
      <c r="A48" s="1">
        <v>47</v>
      </c>
      <c r="B48" s="1" t="s">
        <v>47</v>
      </c>
      <c r="C48" s="18">
        <v>19719</v>
      </c>
      <c r="D48" s="4">
        <v>14.5</v>
      </c>
      <c r="E48" s="4">
        <v>18.7</v>
      </c>
      <c r="F48" s="13">
        <v>0</v>
      </c>
      <c r="G48" s="13">
        <v>0</v>
      </c>
      <c r="H48" s="13">
        <v>1</v>
      </c>
      <c r="I48" s="1">
        <f t="shared" si="2"/>
        <v>1</v>
      </c>
      <c r="J48" s="6">
        <f t="shared" si="3"/>
        <v>6.6887966032762574</v>
      </c>
      <c r="K48" s="6">
        <f t="shared" si="4"/>
        <v>4.6518813398452021</v>
      </c>
      <c r="L48" s="6">
        <f t="shared" si="5"/>
        <v>0</v>
      </c>
      <c r="M48" s="23">
        <f t="shared" si="6"/>
        <v>0</v>
      </c>
      <c r="N48" s="23">
        <f t="shared" si="7"/>
        <v>0</v>
      </c>
      <c r="O48" s="23">
        <f t="shared" si="8"/>
        <v>19719</v>
      </c>
      <c r="P48" s="23">
        <f t="shared" si="9"/>
        <v>0</v>
      </c>
      <c r="Q48" s="23">
        <f t="shared" si="10"/>
        <v>0</v>
      </c>
      <c r="R48" s="23">
        <f t="shared" si="11"/>
        <v>0</v>
      </c>
      <c r="T48" s="36">
        <v>505383.07667787472</v>
      </c>
      <c r="U48" s="23">
        <v>901508.34795100009</v>
      </c>
      <c r="V48" s="23">
        <v>569623.6631172481</v>
      </c>
      <c r="W48" s="23">
        <f t="shared" si="12"/>
        <v>1976515.0877461229</v>
      </c>
      <c r="X48" s="41">
        <f t="shared" si="13"/>
        <v>133822.04919718928</v>
      </c>
    </row>
    <row r="49" spans="1:24" x14ac:dyDescent="0.3">
      <c r="A49" s="1">
        <v>48</v>
      </c>
      <c r="B49" s="1" t="s">
        <v>48</v>
      </c>
      <c r="C49" s="18">
        <v>38437</v>
      </c>
      <c r="D49" s="4">
        <v>15.1</v>
      </c>
      <c r="E49" s="4">
        <v>18.600000000000001</v>
      </c>
      <c r="F49" s="13">
        <v>0</v>
      </c>
      <c r="G49" s="13">
        <v>0</v>
      </c>
      <c r="H49" s="13">
        <v>0.99999999999999978</v>
      </c>
      <c r="I49" s="1">
        <f t="shared" si="2"/>
        <v>0.99999999999999978</v>
      </c>
      <c r="J49" s="6">
        <f t="shared" si="3"/>
        <v>7.2560319734686924</v>
      </c>
      <c r="K49" s="6">
        <f t="shared" si="4"/>
        <v>5.2392747589718924</v>
      </c>
      <c r="L49" s="6">
        <f t="shared" si="5"/>
        <v>0.60827625302982125</v>
      </c>
      <c r="M49" s="23">
        <f t="shared" si="6"/>
        <v>0</v>
      </c>
      <c r="N49" s="23">
        <f t="shared" si="7"/>
        <v>0</v>
      </c>
      <c r="O49" s="23">
        <f t="shared" si="8"/>
        <v>38436.999999999993</v>
      </c>
      <c r="P49" s="23">
        <f t="shared" si="9"/>
        <v>0</v>
      </c>
      <c r="Q49" s="23">
        <f t="shared" si="10"/>
        <v>0</v>
      </c>
      <c r="R49" s="23">
        <f t="shared" si="11"/>
        <v>23380.314337707234</v>
      </c>
      <c r="T49" s="36">
        <v>505383.07667787472</v>
      </c>
      <c r="U49" s="23">
        <v>901508.34795100009</v>
      </c>
      <c r="V49" s="23">
        <v>577703.63514301972</v>
      </c>
      <c r="W49" s="23">
        <f t="shared" si="12"/>
        <v>1984595.0597718945</v>
      </c>
      <c r="X49" s="41">
        <f t="shared" si="13"/>
        <v>125742.07717141765</v>
      </c>
    </row>
    <row r="50" spans="1:24" x14ac:dyDescent="0.3">
      <c r="A50" s="1">
        <v>49</v>
      </c>
      <c r="B50" s="1" t="s">
        <v>49</v>
      </c>
      <c r="C50" s="18">
        <v>120877</v>
      </c>
      <c r="D50" s="4">
        <v>15.8</v>
      </c>
      <c r="E50" s="4">
        <v>18.600000000000001</v>
      </c>
      <c r="F50" s="13">
        <v>0</v>
      </c>
      <c r="G50" s="13">
        <v>0</v>
      </c>
      <c r="H50" s="13">
        <v>0.99999999999999989</v>
      </c>
      <c r="I50" s="1">
        <f t="shared" si="2"/>
        <v>0.99999999999999989</v>
      </c>
      <c r="J50" s="6">
        <f t="shared" si="3"/>
        <v>7.8714674616617701</v>
      </c>
      <c r="K50" s="6">
        <f t="shared" si="4"/>
        <v>5.8872744118140092</v>
      </c>
      <c r="L50" s="6">
        <f t="shared" si="5"/>
        <v>1.3038404810405304</v>
      </c>
      <c r="M50" s="23">
        <f t="shared" si="6"/>
        <v>0</v>
      </c>
      <c r="N50" s="23">
        <f t="shared" si="7"/>
        <v>0</v>
      </c>
      <c r="O50" s="23">
        <f t="shared" si="8"/>
        <v>120876.99999999999</v>
      </c>
      <c r="P50" s="23">
        <f t="shared" si="9"/>
        <v>0</v>
      </c>
      <c r="Q50" s="23">
        <f t="shared" si="10"/>
        <v>0</v>
      </c>
      <c r="R50" s="23">
        <f t="shared" si="11"/>
        <v>157604.32582673617</v>
      </c>
      <c r="T50" s="36">
        <v>505383.07667787472</v>
      </c>
      <c r="U50" s="23">
        <v>901508.34795100009</v>
      </c>
      <c r="V50" s="23">
        <v>638186.61433177593</v>
      </c>
      <c r="W50" s="23">
        <f t="shared" si="12"/>
        <v>2045078.0389606506</v>
      </c>
      <c r="X50" s="41">
        <f t="shared" si="13"/>
        <v>65259.097982661449</v>
      </c>
    </row>
    <row r="51" spans="1:24" x14ac:dyDescent="0.3">
      <c r="A51" s="1">
        <v>50</v>
      </c>
      <c r="B51" s="1" t="s">
        <v>50</v>
      </c>
      <c r="C51" s="18">
        <v>33915</v>
      </c>
      <c r="D51" s="4">
        <v>16.600000000000001</v>
      </c>
      <c r="E51" s="4">
        <v>18.600000000000001</v>
      </c>
      <c r="F51" s="13">
        <v>0</v>
      </c>
      <c r="G51" s="13">
        <v>0</v>
      </c>
      <c r="H51" s="13">
        <v>1</v>
      </c>
      <c r="I51" s="1">
        <f t="shared" si="2"/>
        <v>1</v>
      </c>
      <c r="J51" s="6">
        <f t="shared" si="3"/>
        <v>8.5906926379658124</v>
      </c>
      <c r="K51" s="6">
        <f t="shared" si="4"/>
        <v>6.640783086353597</v>
      </c>
      <c r="L51" s="6">
        <f t="shared" si="5"/>
        <v>2.1023796041628655</v>
      </c>
      <c r="M51" s="23">
        <f t="shared" si="6"/>
        <v>0</v>
      </c>
      <c r="N51" s="23">
        <f t="shared" si="7"/>
        <v>0</v>
      </c>
      <c r="O51" s="23">
        <f t="shared" si="8"/>
        <v>33915</v>
      </c>
      <c r="P51" s="23">
        <f t="shared" si="9"/>
        <v>0</v>
      </c>
      <c r="Q51" s="23">
        <f t="shared" si="10"/>
        <v>0</v>
      </c>
      <c r="R51" s="23">
        <f t="shared" si="11"/>
        <v>71302.204275183583</v>
      </c>
      <c r="T51" s="36">
        <v>505383.07667787472</v>
      </c>
      <c r="U51" s="23">
        <v>901508.34795100009</v>
      </c>
      <c r="V51" s="23">
        <v>901935.52577168448</v>
      </c>
      <c r="W51" s="23">
        <f t="shared" si="12"/>
        <v>2308826.9504005592</v>
      </c>
      <c r="X51" s="41">
        <f t="shared" si="13"/>
        <v>198489.8134572471</v>
      </c>
    </row>
    <row r="52" spans="1:24" x14ac:dyDescent="0.3">
      <c r="A52" s="1"/>
      <c r="B52" s="2" t="s">
        <v>64</v>
      </c>
      <c r="C52" s="19">
        <f>SUM(C2:C51)</f>
        <v>1198894</v>
      </c>
      <c r="I52" s="1"/>
      <c r="M52" s="24">
        <f t="shared" ref="M52:O52" si="14">SUM(M2:M51)</f>
        <v>399631.33333333331</v>
      </c>
      <c r="N52" s="24">
        <f t="shared" si="14"/>
        <v>399631.33333333331</v>
      </c>
      <c r="O52" s="24">
        <f t="shared" si="14"/>
        <v>399631.33333333349</v>
      </c>
      <c r="P52" s="24">
        <f t="shared" ref="P52:R52" si="15">SUM(P2:P51)</f>
        <v>505383.07667787472</v>
      </c>
      <c r="Q52" s="24">
        <f t="shared" si="15"/>
        <v>901508.34795100009</v>
      </c>
      <c r="R52" s="24">
        <f t="shared" si="15"/>
        <v>569623.6631172481</v>
      </c>
      <c r="T52" s="1"/>
    </row>
    <row r="53" spans="1:24" x14ac:dyDescent="0.3">
      <c r="A53" s="1"/>
      <c r="B53" s="2" t="s">
        <v>65</v>
      </c>
      <c r="C53" s="26">
        <f>C52/3</f>
        <v>399631.33333333331</v>
      </c>
      <c r="I53" s="1"/>
      <c r="M53" s="27" t="s">
        <v>77</v>
      </c>
      <c r="N53" s="27" t="s">
        <v>78</v>
      </c>
      <c r="O53" s="27" t="s">
        <v>79</v>
      </c>
      <c r="P53" s="27" t="s">
        <v>76</v>
      </c>
      <c r="Q53" s="27" t="s">
        <v>74</v>
      </c>
      <c r="R53" s="27" t="s">
        <v>75</v>
      </c>
      <c r="T53" s="1"/>
    </row>
    <row r="54" spans="1:24" x14ac:dyDescent="0.3">
      <c r="A54" s="1"/>
      <c r="B54" s="1"/>
      <c r="I54" s="1"/>
      <c r="N54" s="24">
        <f>SUM(M52:O52)</f>
        <v>1198894</v>
      </c>
      <c r="Q54" s="46">
        <f>SUM(P52:R52)</f>
        <v>1976515.0877461229</v>
      </c>
      <c r="T54" s="1"/>
    </row>
    <row r="55" spans="1:24" x14ac:dyDescent="0.3">
      <c r="A55" s="2" t="s">
        <v>60</v>
      </c>
      <c r="B55" s="3" t="s">
        <v>61</v>
      </c>
      <c r="H55" s="14"/>
      <c r="I55" s="21" t="s">
        <v>92</v>
      </c>
      <c r="N55" s="25" t="s">
        <v>80</v>
      </c>
      <c r="Q55" s="25" t="s">
        <v>56</v>
      </c>
      <c r="T55" s="2"/>
    </row>
    <row r="56" spans="1:24" x14ac:dyDescent="0.3">
      <c r="A56" s="2" t="s">
        <v>62</v>
      </c>
      <c r="B56" s="3" t="s">
        <v>81</v>
      </c>
      <c r="H56" s="15"/>
      <c r="I56" s="21" t="s">
        <v>93</v>
      </c>
      <c r="T56" s="2"/>
    </row>
    <row r="57" spans="1:24" x14ac:dyDescent="0.3">
      <c r="A57" s="2" t="s">
        <v>84</v>
      </c>
      <c r="B57" s="3" t="s">
        <v>83</v>
      </c>
      <c r="H57" s="16"/>
      <c r="I57" s="21" t="s">
        <v>91</v>
      </c>
      <c r="T57" s="2"/>
    </row>
    <row r="58" spans="1:24" x14ac:dyDescent="0.3">
      <c r="A58" s="2" t="s">
        <v>85</v>
      </c>
      <c r="B58" s="3" t="s">
        <v>82</v>
      </c>
      <c r="D58" s="1"/>
      <c r="E58" s="1"/>
      <c r="I58" s="1"/>
      <c r="T58" s="1"/>
    </row>
    <row r="59" spans="1:24" x14ac:dyDescent="0.3">
      <c r="A59" s="2" t="s">
        <v>86</v>
      </c>
      <c r="B59" s="3" t="s">
        <v>87</v>
      </c>
      <c r="I59" s="1"/>
    </row>
    <row r="60" spans="1:24" ht="15" thickBot="1" x14ac:dyDescent="0.35">
      <c r="A60" s="2"/>
      <c r="B60" s="3"/>
    </row>
    <row r="61" spans="1:24" x14ac:dyDescent="0.3">
      <c r="B61" s="49" t="s">
        <v>88</v>
      </c>
      <c r="C61" s="47" t="s">
        <v>89</v>
      </c>
      <c r="D61" s="47"/>
      <c r="E61" s="48"/>
    </row>
    <row r="62" spans="1:24" s="5" customFormat="1" ht="28.8" x14ac:dyDescent="0.3">
      <c r="B62" s="50"/>
      <c r="C62" s="29" t="s">
        <v>90</v>
      </c>
      <c r="D62" s="29" t="s">
        <v>51</v>
      </c>
      <c r="E62" s="30" t="s">
        <v>52</v>
      </c>
      <c r="F62" s="11"/>
      <c r="G62" s="11"/>
      <c r="H62" s="11"/>
      <c r="J62" s="11"/>
      <c r="K62" s="11"/>
      <c r="L62" s="11"/>
      <c r="M62" s="28"/>
      <c r="N62" s="28"/>
      <c r="O62" s="28"/>
      <c r="P62" s="28"/>
      <c r="Q62" s="28"/>
      <c r="R62" s="28"/>
      <c r="W62" s="28"/>
    </row>
    <row r="63" spans="1:24" x14ac:dyDescent="0.3">
      <c r="B63" s="31">
        <v>1</v>
      </c>
      <c r="C63" s="4">
        <v>7</v>
      </c>
      <c r="D63">
        <f>VLOOKUP($C63, $A$2:$E$51,4,FALSE)</f>
        <v>8.8000000000000007</v>
      </c>
      <c r="E63" s="32">
        <f>VLOOKUP($C63, $A$2:$E$51,5,FALSE)</f>
        <v>22.2</v>
      </c>
      <c r="Q63" s="36" t="s">
        <v>98</v>
      </c>
      <c r="R63" s="36" t="s">
        <v>99</v>
      </c>
      <c r="S63" s="40" t="s">
        <v>94</v>
      </c>
      <c r="T63" s="41" t="s">
        <v>102</v>
      </c>
    </row>
    <row r="64" spans="1:24" x14ac:dyDescent="0.3">
      <c r="B64" s="31">
        <v>2</v>
      </c>
      <c r="C64" s="4">
        <v>19</v>
      </c>
      <c r="D64">
        <f t="shared" ref="D64:D65" si="16">VLOOKUP($C64, $A$2:$E$51,4,FALSE)</f>
        <v>10.3</v>
      </c>
      <c r="E64" s="32">
        <f t="shared" ref="E64:E65" si="17">VLOOKUP($C64, $A$2:$E$51,5,FALSE)</f>
        <v>20.7</v>
      </c>
      <c r="P64" s="23" t="s">
        <v>100</v>
      </c>
      <c r="Q64" s="39">
        <v>7</v>
      </c>
      <c r="R64" s="23">
        <v>476232.40254638967</v>
      </c>
      <c r="S64" s="23"/>
      <c r="T64" s="41"/>
    </row>
    <row r="65" spans="2:21" ht="15" thickBot="1" x14ac:dyDescent="0.35">
      <c r="B65" s="33">
        <v>3</v>
      </c>
      <c r="C65" s="45">
        <v>47</v>
      </c>
      <c r="D65" s="34">
        <f t="shared" si="16"/>
        <v>14.5</v>
      </c>
      <c r="E65" s="35">
        <f t="shared" si="17"/>
        <v>18.7</v>
      </c>
      <c r="Q65" s="39">
        <v>19</v>
      </c>
      <c r="R65" s="23">
        <v>1777560.9449621479</v>
      </c>
      <c r="S65" s="23"/>
      <c r="T65" s="41"/>
    </row>
    <row r="66" spans="2:21" x14ac:dyDescent="0.3">
      <c r="Q66" s="39">
        <v>24</v>
      </c>
      <c r="R66" s="23">
        <v>659914.21461116103</v>
      </c>
      <c r="S66" s="23">
        <f>SUM(R64:R66)</f>
        <v>2913707.5621196986</v>
      </c>
      <c r="T66" s="41"/>
      <c r="U66" s="37"/>
    </row>
    <row r="67" spans="2:21" x14ac:dyDescent="0.3">
      <c r="S67" s="41"/>
      <c r="T67" s="41"/>
    </row>
    <row r="68" spans="2:21" x14ac:dyDescent="0.3">
      <c r="P68" s="23" t="s">
        <v>101</v>
      </c>
      <c r="Q68" s="39">
        <v>7</v>
      </c>
      <c r="R68" s="23">
        <v>505383.07667787472</v>
      </c>
      <c r="S68" s="41"/>
      <c r="T68" s="41"/>
    </row>
    <row r="69" spans="2:21" x14ac:dyDescent="0.3">
      <c r="Q69" s="39">
        <v>19</v>
      </c>
      <c r="R69" s="23">
        <v>901508.34795100009</v>
      </c>
      <c r="S69" s="41"/>
      <c r="T69" s="42"/>
      <c r="U69" s="43"/>
    </row>
    <row r="70" spans="2:21" x14ac:dyDescent="0.3">
      <c r="Q70" s="38">
        <v>47</v>
      </c>
      <c r="R70" s="23">
        <v>569623.6631172481</v>
      </c>
      <c r="S70" s="23">
        <f>SUM(R68:R70)</f>
        <v>1976515.0877461229</v>
      </c>
      <c r="T70" s="42">
        <f>S70-$S$66</f>
        <v>-937192.47437357577</v>
      </c>
      <c r="U70" s="44">
        <f>T70/$S$66</f>
        <v>-0.32164946357615104</v>
      </c>
    </row>
    <row r="71" spans="2:21" x14ac:dyDescent="0.3">
      <c r="S71" s="41"/>
      <c r="T71" s="42"/>
      <c r="U71" s="43"/>
    </row>
    <row r="72" spans="2:21" x14ac:dyDescent="0.3">
      <c r="S72" s="41"/>
      <c r="T72" s="42"/>
      <c r="U72" s="43"/>
    </row>
    <row r="73" spans="2:21" x14ac:dyDescent="0.3">
      <c r="R73" s="41"/>
      <c r="S73" s="41"/>
      <c r="T73" s="42"/>
      <c r="U73" s="43"/>
    </row>
    <row r="74" spans="2:21" x14ac:dyDescent="0.3">
      <c r="R74" s="41"/>
      <c r="S74" s="23"/>
      <c r="T74" s="42"/>
      <c r="U74" s="44"/>
    </row>
    <row r="75" spans="2:21" x14ac:dyDescent="0.3">
      <c r="S75" s="41"/>
      <c r="T75" s="42"/>
      <c r="U75" s="43"/>
    </row>
    <row r="76" spans="2:21" x14ac:dyDescent="0.3">
      <c r="S76" s="41"/>
      <c r="T76" s="42"/>
      <c r="U76" s="43"/>
    </row>
    <row r="77" spans="2:21" x14ac:dyDescent="0.3">
      <c r="S77" s="41"/>
      <c r="T77" s="42"/>
      <c r="U77" s="43"/>
    </row>
    <row r="78" spans="2:21" x14ac:dyDescent="0.3">
      <c r="S78" s="23"/>
      <c r="T78" s="42"/>
      <c r="U78" s="44"/>
    </row>
  </sheetData>
  <mergeCells count="2">
    <mergeCell ref="C61:E61"/>
    <mergeCell ref="B61:B62"/>
  </mergeCells>
  <phoneticPr fontId="3" type="noConversion"/>
  <conditionalFormatting sqref="W2:W51">
    <cfRule type="top10" dxfId="0" priority="1" bottom="1" rank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workbookViewId="0">
      <selection sqref="A1:XFD1048576"/>
    </sheetView>
  </sheetViews>
  <sheetFormatPr defaultColWidth="8.77734375" defaultRowHeight="14.4" x14ac:dyDescent="0.3"/>
  <cols>
    <col min="1" max="1" width="14.6640625" bestFit="1" customWidth="1"/>
    <col min="2" max="2" width="18.77734375" bestFit="1" customWidth="1"/>
    <col min="3" max="3" width="11.77734375" bestFit="1" customWidth="1"/>
    <col min="4" max="4" width="14.21875" bestFit="1" customWidth="1"/>
    <col min="5" max="5" width="15.5546875" bestFit="1" customWidth="1"/>
  </cols>
  <sheetData>
    <row r="1" spans="1:5" x14ac:dyDescent="0.3">
      <c r="A1" s="2"/>
      <c r="B1" s="2"/>
      <c r="C1" s="2"/>
      <c r="D1" s="2"/>
      <c r="E1" s="2"/>
    </row>
    <row r="2" spans="1:5" x14ac:dyDescent="0.3">
      <c r="A2" s="1"/>
      <c r="B2" s="1"/>
      <c r="C2" s="1"/>
      <c r="D2" s="1"/>
      <c r="E2" s="1"/>
    </row>
    <row r="3" spans="1:5" x14ac:dyDescent="0.3">
      <c r="A3" s="1"/>
      <c r="B3" s="1"/>
      <c r="C3" s="1"/>
      <c r="D3" s="1"/>
      <c r="E3" s="1"/>
    </row>
    <row r="4" spans="1:5" x14ac:dyDescent="0.3">
      <c r="A4" s="1"/>
      <c r="B4" s="1"/>
      <c r="C4" s="1"/>
      <c r="D4" s="1"/>
      <c r="E4" s="1"/>
    </row>
    <row r="5" spans="1:5" x14ac:dyDescent="0.3">
      <c r="A5" s="1"/>
      <c r="B5" s="1"/>
      <c r="C5" s="1"/>
      <c r="D5" s="1"/>
      <c r="E5" s="1"/>
    </row>
    <row r="6" spans="1:5" x14ac:dyDescent="0.3">
      <c r="A6" s="1"/>
      <c r="B6" s="1"/>
      <c r="C6" s="1"/>
      <c r="D6" s="1"/>
      <c r="E6" s="1"/>
    </row>
    <row r="7" spans="1:5" x14ac:dyDescent="0.3">
      <c r="A7" s="1"/>
      <c r="B7" s="1"/>
      <c r="C7" s="1"/>
      <c r="D7" s="1"/>
      <c r="E7" s="1"/>
    </row>
    <row r="8" spans="1:5" x14ac:dyDescent="0.3">
      <c r="A8" s="1"/>
      <c r="B8" s="1"/>
      <c r="C8" s="1"/>
      <c r="D8" s="1"/>
      <c r="E8" s="1"/>
    </row>
    <row r="9" spans="1:5" x14ac:dyDescent="0.3">
      <c r="A9" s="1"/>
      <c r="B9" s="1"/>
      <c r="C9" s="1"/>
      <c r="D9" s="1"/>
      <c r="E9" s="1"/>
    </row>
    <row r="10" spans="1:5" x14ac:dyDescent="0.3">
      <c r="A10" s="1"/>
      <c r="B10" s="1"/>
      <c r="C10" s="1"/>
      <c r="D10" s="1"/>
      <c r="E10" s="1"/>
    </row>
    <row r="11" spans="1:5" x14ac:dyDescent="0.3">
      <c r="A11" s="1"/>
      <c r="B11" s="1"/>
      <c r="C11" s="1"/>
      <c r="D11" s="1"/>
      <c r="E11" s="1"/>
    </row>
    <row r="12" spans="1:5" x14ac:dyDescent="0.3">
      <c r="A12" s="1"/>
      <c r="B12" s="1"/>
      <c r="C12" s="1"/>
      <c r="D12" s="1"/>
      <c r="E12" s="1"/>
    </row>
    <row r="13" spans="1:5" x14ac:dyDescent="0.3">
      <c r="A13" s="1"/>
      <c r="B13" s="1"/>
      <c r="C13" s="1"/>
      <c r="D13" s="1"/>
      <c r="E13" s="1"/>
    </row>
    <row r="14" spans="1:5" x14ac:dyDescent="0.3">
      <c r="A14" s="1"/>
      <c r="B14" s="1"/>
      <c r="C14" s="1"/>
      <c r="D14" s="1"/>
      <c r="E14" s="1"/>
    </row>
    <row r="15" spans="1:5" x14ac:dyDescent="0.3">
      <c r="A15" s="1"/>
      <c r="B15" s="1"/>
      <c r="C15" s="1"/>
      <c r="D15" s="1"/>
      <c r="E15" s="1"/>
    </row>
    <row r="16" spans="1:5" x14ac:dyDescent="0.3">
      <c r="A16" s="1"/>
      <c r="B16" s="1"/>
      <c r="C16" s="1"/>
      <c r="D16" s="1"/>
      <c r="E16" s="1"/>
    </row>
    <row r="17" spans="1:5" x14ac:dyDescent="0.3">
      <c r="A17" s="1"/>
      <c r="B17" s="1"/>
      <c r="C17" s="1"/>
      <c r="D17" s="1"/>
      <c r="E17" s="1"/>
    </row>
    <row r="18" spans="1:5" x14ac:dyDescent="0.3">
      <c r="A18" s="1"/>
      <c r="B18" s="1"/>
      <c r="C18" s="1"/>
      <c r="D18" s="1"/>
      <c r="E18" s="1"/>
    </row>
    <row r="19" spans="1:5" x14ac:dyDescent="0.3">
      <c r="A19" s="1"/>
      <c r="B19" s="1"/>
      <c r="C19" s="1"/>
      <c r="D19" s="1"/>
      <c r="E19" s="1"/>
    </row>
    <row r="20" spans="1:5" x14ac:dyDescent="0.3">
      <c r="A20" s="1"/>
      <c r="B20" s="1"/>
      <c r="C20" s="1"/>
      <c r="D20" s="1"/>
      <c r="E20" s="1"/>
    </row>
    <row r="21" spans="1:5" x14ac:dyDescent="0.3">
      <c r="A21" s="1"/>
      <c r="B21" s="1"/>
      <c r="C21" s="1"/>
      <c r="D21" s="1"/>
      <c r="E21" s="1"/>
    </row>
    <row r="22" spans="1:5" x14ac:dyDescent="0.3">
      <c r="A22" s="1"/>
      <c r="B22" s="1"/>
      <c r="C22" s="1"/>
      <c r="D22" s="1"/>
      <c r="E22" s="1"/>
    </row>
    <row r="23" spans="1:5" x14ac:dyDescent="0.3">
      <c r="A23" s="1"/>
      <c r="B23" s="1"/>
      <c r="C23" s="1"/>
      <c r="D23" s="1"/>
      <c r="E23" s="1"/>
    </row>
    <row r="24" spans="1:5" x14ac:dyDescent="0.3">
      <c r="A24" s="1"/>
      <c r="B24" s="1"/>
      <c r="C24" s="1"/>
      <c r="D24" s="1"/>
      <c r="E24" s="1"/>
    </row>
    <row r="25" spans="1:5" x14ac:dyDescent="0.3">
      <c r="A25" s="1"/>
      <c r="B25" s="1"/>
      <c r="C25" s="1"/>
      <c r="D25" s="1"/>
      <c r="E25" s="1"/>
    </row>
    <row r="26" spans="1:5" x14ac:dyDescent="0.3">
      <c r="A26" s="1"/>
      <c r="B26" s="1"/>
      <c r="C26" s="1"/>
      <c r="D26" s="1"/>
      <c r="E26" s="1"/>
    </row>
    <row r="27" spans="1:5" x14ac:dyDescent="0.3">
      <c r="A27" s="1"/>
      <c r="B27" s="1"/>
      <c r="C27" s="1"/>
      <c r="D27" s="1"/>
      <c r="E27" s="1"/>
    </row>
    <row r="28" spans="1:5" x14ac:dyDescent="0.3">
      <c r="A28" s="1"/>
      <c r="B28" s="1"/>
      <c r="C28" s="1"/>
      <c r="D28" s="1"/>
      <c r="E28" s="1"/>
    </row>
    <row r="29" spans="1:5" x14ac:dyDescent="0.3">
      <c r="A29" s="1"/>
      <c r="B29" s="1"/>
      <c r="C29" s="1"/>
      <c r="D29" s="1"/>
      <c r="E29" s="1"/>
    </row>
    <row r="30" spans="1:5" x14ac:dyDescent="0.3">
      <c r="A30" s="1"/>
      <c r="B30" s="1"/>
      <c r="C30" s="1"/>
      <c r="D30" s="1"/>
      <c r="E30" s="1"/>
    </row>
    <row r="31" spans="1:5" x14ac:dyDescent="0.3">
      <c r="A31" s="1"/>
      <c r="B31" s="1"/>
      <c r="C31" s="1"/>
      <c r="D31" s="1"/>
      <c r="E31" s="1"/>
    </row>
    <row r="32" spans="1:5" x14ac:dyDescent="0.3">
      <c r="A32" s="1"/>
      <c r="B32" s="1"/>
      <c r="C32" s="1"/>
      <c r="D32" s="1"/>
      <c r="E32" s="1"/>
    </row>
    <row r="33" spans="1:5" x14ac:dyDescent="0.3">
      <c r="A33" s="1"/>
      <c r="B33" s="1"/>
      <c r="C33" s="1"/>
      <c r="D33" s="1"/>
      <c r="E33" s="1"/>
    </row>
    <row r="34" spans="1:5" x14ac:dyDescent="0.3">
      <c r="A34" s="1"/>
      <c r="B34" s="1"/>
      <c r="C34" s="1"/>
      <c r="D34" s="1"/>
      <c r="E34" s="1"/>
    </row>
    <row r="35" spans="1:5" x14ac:dyDescent="0.3">
      <c r="A35" s="1"/>
      <c r="B35" s="1"/>
      <c r="C35" s="1"/>
      <c r="D35" s="1"/>
      <c r="E35" s="1"/>
    </row>
    <row r="36" spans="1:5" x14ac:dyDescent="0.3">
      <c r="A36" s="1"/>
      <c r="B36" s="1"/>
      <c r="C36" s="1"/>
      <c r="D36" s="1"/>
      <c r="E36" s="1"/>
    </row>
    <row r="37" spans="1:5" x14ac:dyDescent="0.3">
      <c r="A37" s="1"/>
      <c r="B37" s="1"/>
      <c r="C37" s="1"/>
      <c r="D37" s="1"/>
      <c r="E37" s="1"/>
    </row>
    <row r="38" spans="1:5" x14ac:dyDescent="0.3">
      <c r="A38" s="1"/>
      <c r="B38" s="1"/>
      <c r="C38" s="1"/>
      <c r="D38" s="1"/>
      <c r="E38" s="1"/>
    </row>
    <row r="39" spans="1:5" x14ac:dyDescent="0.3">
      <c r="A39" s="1"/>
      <c r="B39" s="1"/>
      <c r="C39" s="1"/>
      <c r="D39" s="1"/>
      <c r="E39" s="1"/>
    </row>
    <row r="40" spans="1:5" x14ac:dyDescent="0.3">
      <c r="A40" s="1"/>
      <c r="B40" s="1"/>
      <c r="C40" s="1"/>
      <c r="D40" s="1"/>
      <c r="E40" s="1"/>
    </row>
    <row r="41" spans="1:5" x14ac:dyDescent="0.3">
      <c r="A41" s="1"/>
      <c r="B41" s="1"/>
      <c r="C41" s="1"/>
      <c r="D41" s="1"/>
      <c r="E41" s="1"/>
    </row>
    <row r="42" spans="1:5" x14ac:dyDescent="0.3">
      <c r="A42" s="1"/>
      <c r="B42" s="1"/>
      <c r="C42" s="1"/>
      <c r="D42" s="1"/>
      <c r="E42" s="1"/>
    </row>
    <row r="43" spans="1:5" x14ac:dyDescent="0.3">
      <c r="A43" s="1"/>
      <c r="B43" s="1"/>
      <c r="C43" s="1"/>
      <c r="D43" s="1"/>
      <c r="E43" s="1"/>
    </row>
    <row r="44" spans="1:5" x14ac:dyDescent="0.3">
      <c r="A44" s="1"/>
      <c r="B44" s="1"/>
      <c r="C44" s="1"/>
      <c r="D44" s="1"/>
      <c r="E44" s="1"/>
    </row>
    <row r="45" spans="1:5" x14ac:dyDescent="0.3">
      <c r="A45" s="1"/>
      <c r="B45" s="1"/>
      <c r="C45" s="1"/>
      <c r="D45" s="1"/>
      <c r="E45" s="1"/>
    </row>
    <row r="46" spans="1:5" x14ac:dyDescent="0.3">
      <c r="A46" s="1"/>
      <c r="B46" s="1"/>
      <c r="C46" s="1"/>
      <c r="D46" s="1"/>
      <c r="E46" s="1"/>
    </row>
    <row r="47" spans="1:5" x14ac:dyDescent="0.3">
      <c r="A47" s="1"/>
      <c r="B47" s="1"/>
      <c r="C47" s="1"/>
      <c r="D47" s="1"/>
      <c r="E47" s="1"/>
    </row>
    <row r="48" spans="1:5" x14ac:dyDescent="0.3">
      <c r="A48" s="1"/>
      <c r="B48" s="1"/>
      <c r="C48" s="1"/>
      <c r="D48" s="1"/>
      <c r="E48" s="1"/>
    </row>
    <row r="49" spans="1:5" x14ac:dyDescent="0.3">
      <c r="A49" s="1"/>
      <c r="B49" s="1"/>
      <c r="C49" s="1"/>
      <c r="D49" s="1"/>
      <c r="E49" s="1"/>
    </row>
    <row r="50" spans="1:5" x14ac:dyDescent="0.3">
      <c r="A50" s="1"/>
      <c r="B50" s="1"/>
      <c r="C50" s="1"/>
      <c r="D50" s="1"/>
      <c r="E50" s="1"/>
    </row>
    <row r="51" spans="1:5" x14ac:dyDescent="0.3">
      <c r="A51" s="1"/>
      <c r="B51" s="1"/>
      <c r="C51" s="1"/>
      <c r="D51" s="1"/>
      <c r="E5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Sheet2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 B Syam</dc:creator>
  <cp:lastModifiedBy>Xu, Luanluan</cp:lastModifiedBy>
  <dcterms:created xsi:type="dcterms:W3CDTF">2012-09-02T12:42:55Z</dcterms:created>
  <dcterms:modified xsi:type="dcterms:W3CDTF">2025-04-01T16:41:12Z</dcterms:modified>
</cp:coreProperties>
</file>