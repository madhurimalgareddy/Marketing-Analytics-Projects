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dhu\Downloads\"/>
    </mc:Choice>
  </mc:AlternateContent>
  <xr:revisionPtr revIDLastSave="0" documentId="13_ncr:1_{77443212-0604-4C24-A3DA-4A65EAD8460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utation Sheet" sheetId="1" r:id="rId1"/>
    <sheet name="Initial data" sheetId="2" r:id="rId2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SifBuy" comment="Consumer surplus of the bundle when bought">'Computation Sheet'!$AA$41:$AG$43</definedName>
    <definedName name="L" comment="Number of bundles = 2^n - 1">'Computation Sheet'!$F$30</definedName>
    <definedName name="Lagrange_Multiplier" comment="If you incorporated constraints into a Lagrangian. Not doing this here.">'Computation Sheet'!$AM$60</definedName>
    <definedName name="M" comment="Number of consumer segments">'Computation Sheet'!$F$28</definedName>
    <definedName name="Max_Utility" comment="Largest utility across both segments and bundles">'Computation Sheet'!$E$12</definedName>
    <definedName name="MaxCS" comment="Max consumer surplus for each segment">'Computation Sheet'!$AP$51:$AP$53</definedName>
    <definedName name="MaxU_MinC" comment="max Utility minus min Cost">'Computation Sheet'!$E$26</definedName>
    <definedName name="Min_Cost" comment="Min Cost across all bundles">'Computation Sheet'!$F$15</definedName>
    <definedName name="n" comment="Number of components of the bundles">'Computation Sheet'!$F$29</definedName>
    <definedName name="OneBundle" comment="Can only assign one bundle to a consumer segment">'Computation Sheet'!$AR$6:$AR$8</definedName>
    <definedName name="Pi" comment="Prices of all bundles">'Computation Sheet'!$AA$14:$AG$14</definedName>
    <definedName name="Pki" comment="Price paid by segment k for bundle i">'Computation Sheet'!$AA$20:$AG$22</definedName>
    <definedName name="RepeatedPi" comment="Put Pi vector in k rows">'Computation Sheet'!$AS$20:$AY$22</definedName>
    <definedName name="RepeatedSk" comment="Consumer surplus vector copied for each bundle">'Computation Sheet'!$AS$51:$AY$53</definedName>
    <definedName name="RepeatPi_MaxU1_Tki" comment="Price vector -Max U*(1-Tki)  repeated for each consumer segment">'Computation Sheet'!$AS$30:$AY$32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k" comment="Consumer surplus offered to each consumer segment">'Computation Sheet'!$AT$41:$AT$43</definedName>
    <definedName name="Sk_Ski" comment="Difference between consumer surplus offered and chosen for each segment">'Computation Sheet'!$AR$60:$AY$62</definedName>
    <definedName name="solver_adj" localSheetId="0" hidden="1">'Computation Sheet'!$AA$14:$AG$14,'Computation Sheet'!$AA$20:$AG$22,'Computation Sheet'!$AT$41:$AT$43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5000</definedName>
    <definedName name="solver_lhs1" localSheetId="0" hidden="1">'Computation Sheet'!$AG$14</definedName>
    <definedName name="solver_lhs2" localSheetId="0" hidden="1">'Computation Sheet'!$AG$14</definedName>
    <definedName name="solver_lhs3" localSheetId="0" hidden="1">'Computation Sheet'!$AG$14</definedName>
    <definedName name="solver_lhs4" localSheetId="0" hidden="1">'Computation Sheet'!$AA$41:$AG$43</definedName>
    <definedName name="solver_lhs5" localSheetId="0" hidden="1">'Computation Sheet'!$AA$14:$AG$14</definedName>
    <definedName name="solver_lhs6" localSheetId="0" hidden="1">'Computation Sheet'!$AA$20:$AG$22</definedName>
    <definedName name="solver_lhs7" localSheetId="0" hidden="1">'Computation Sheet'!$AA$20:$AG$22</definedName>
    <definedName name="solver_lhs8" localSheetId="0" hidden="1">'Computation Sheet'!$AS$51:$AY$53</definedName>
    <definedName name="solver_lhs9" localSheetId="0" hidden="1">'Computation Sheet'!$AT$41:$AT$43</definedName>
    <definedName name="solver_mip" localSheetId="0" hidden="1">50000</definedName>
    <definedName name="solver_mni" localSheetId="0" hidden="1">60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50000</definedName>
    <definedName name="solver_num" localSheetId="0" hidden="1">9</definedName>
    <definedName name="solver_nwt" localSheetId="0" hidden="1">1</definedName>
    <definedName name="solver_opt" localSheetId="0" hidden="1">'Computation Sheet'!$AQ$27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1</definedName>
    <definedName name="solver_rel7" localSheetId="0" hidden="1">3</definedName>
    <definedName name="solver_rel8" localSheetId="0" hidden="1">3</definedName>
    <definedName name="solver_rel9" localSheetId="0" hidden="1">2</definedName>
    <definedName name="solver_rhs1" localSheetId="0" hidden="1">'Computation Sheet'!$AG$15</definedName>
    <definedName name="solver_rhs2" localSheetId="0" hidden="1">'Computation Sheet'!$AG$17</definedName>
    <definedName name="solver_rhs3" localSheetId="0" hidden="1">'Computation Sheet'!$AG$18</definedName>
    <definedName name="solver_rhs4" localSheetId="0" hidden="1">0</definedName>
    <definedName name="solver_rhs5" localSheetId="0" hidden="1">SubAddPrice</definedName>
    <definedName name="solver_rhs6" localSheetId="0" hidden="1">RepeatedPi</definedName>
    <definedName name="solver_rhs7" localSheetId="0" hidden="1">RepeatPi_MaxU1_Tki</definedName>
    <definedName name="solver_rhs8" localSheetId="0" hidden="1">U_net_P</definedName>
    <definedName name="solver_rhs9" localSheetId="0" hidden="1">SumSk</definedName>
    <definedName name="solver_rlx" localSheetId="0" hidden="1">2</definedName>
    <definedName name="solver_rsd" localSheetId="0" hidden="1">19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360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ubAddPrice" comment="Sum of prices of compenents that make up a bundle.  This is used to force bundle prices to be sub additive">'Computation Sheet'!$AA$16:$AG$16</definedName>
    <definedName name="SumSk" comment="sum of segment k'sSki across i">'Computation Sheet'!$AQ$41:$AQ$43</definedName>
    <definedName name="Tk" comment="Which bundle index is offered to each consumer segment k">'Computation Sheet'!$AQ$6:$AQ$8</definedName>
    <definedName name="Tki" comment="Binary array with 1 indicating that k was assigned bundle i">'Computation Sheet'!$AA$6:$AG$8</definedName>
    <definedName name="Total_Profit" comment="Revenue of all the assigned bundles minus their costs">'Computation Sheet'!$AQ$27</definedName>
    <definedName name="U_net_P" comment="Utity minus Price for all segments k and bundles i, spelling out potential consumer surpluses.">'Computation Sheet'!$AA$51:$AG$53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1" l="1"/>
  <c r="G19" i="1"/>
  <c r="G20" i="1"/>
  <c r="H7" i="1"/>
  <c r="B14" i="2"/>
  <c r="C14" i="2"/>
  <c r="I7" i="1"/>
  <c r="D14" i="2"/>
  <c r="J7" i="1"/>
  <c r="AC42" i="1" s="1"/>
  <c r="E14" i="2"/>
  <c r="K7" i="1" s="1"/>
  <c r="F14" i="2"/>
  <c r="L7" i="1" s="1"/>
  <c r="G14" i="2"/>
  <c r="M7" i="1"/>
  <c r="H14" i="2"/>
  <c r="N7" i="1" s="1"/>
  <c r="B15" i="2"/>
  <c r="H8" i="1"/>
  <c r="AA43" i="1" s="1"/>
  <c r="C15" i="2"/>
  <c r="I8" i="1"/>
  <c r="AB43" i="1" s="1"/>
  <c r="D15" i="2"/>
  <c r="J8" i="1"/>
  <c r="E15" i="2"/>
  <c r="K8" i="1" s="1"/>
  <c r="F15" i="2"/>
  <c r="L8" i="1"/>
  <c r="AE53" i="1" s="1"/>
  <c r="AW62" i="1" s="1"/>
  <c r="G15" i="2"/>
  <c r="M8" i="1"/>
  <c r="H15" i="2"/>
  <c r="N8" i="1"/>
  <c r="B16" i="2"/>
  <c r="H14" i="1" s="1"/>
  <c r="C16" i="2"/>
  <c r="I14" i="1" s="1"/>
  <c r="D16" i="2"/>
  <c r="J14" i="1" s="1"/>
  <c r="E16" i="2"/>
  <c r="K14" i="1" s="1"/>
  <c r="F16" i="2"/>
  <c r="L14" i="1"/>
  <c r="G16" i="2"/>
  <c r="M14" i="1"/>
  <c r="H16" i="2"/>
  <c r="N14" i="1" s="1"/>
  <c r="H13" i="2"/>
  <c r="N6" i="1" s="1"/>
  <c r="G13" i="2"/>
  <c r="M6" i="1" s="1"/>
  <c r="F13" i="2"/>
  <c r="L6" i="1" s="1"/>
  <c r="E13" i="2"/>
  <c r="K6" i="1"/>
  <c r="D13" i="2"/>
  <c r="J6" i="1"/>
  <c r="C13" i="2"/>
  <c r="I6" i="1" s="1"/>
  <c r="B13" i="2"/>
  <c r="H6" i="1" s="1"/>
  <c r="J7" i="2"/>
  <c r="P32" i="1"/>
  <c r="P31" i="1"/>
  <c r="P21" i="1"/>
  <c r="AG18" i="1"/>
  <c r="P24" i="1"/>
  <c r="AG17" i="1"/>
  <c r="P23" i="1"/>
  <c r="AG15" i="1"/>
  <c r="P22" i="1" s="1"/>
  <c r="AG16" i="1"/>
  <c r="O15" i="1"/>
  <c r="AA6" i="1"/>
  <c r="AB6" i="1"/>
  <c r="AC6" i="1"/>
  <c r="AD6" i="1"/>
  <c r="AE6" i="1"/>
  <c r="AE30" i="1" s="1"/>
  <c r="AE37" i="1" s="1"/>
  <c r="AF6" i="1"/>
  <c r="AG6" i="1"/>
  <c r="AA7" i="1"/>
  <c r="AB7" i="1"/>
  <c r="AC7" i="1"/>
  <c r="AD7" i="1"/>
  <c r="AE7" i="1"/>
  <c r="AF7" i="1"/>
  <c r="AG7" i="1"/>
  <c r="AA8" i="1"/>
  <c r="AB8" i="1"/>
  <c r="AC8" i="1"/>
  <c r="AD8" i="1"/>
  <c r="AE8" i="1"/>
  <c r="AF8" i="1"/>
  <c r="AG8" i="1"/>
  <c r="AG43" i="1"/>
  <c r="Z7" i="1"/>
  <c r="Z42" i="1" s="1"/>
  <c r="Z8" i="1"/>
  <c r="Z43" i="1" s="1"/>
  <c r="Z6" i="1"/>
  <c r="Z30" i="1" s="1"/>
  <c r="AS51" i="1"/>
  <c r="AT51" i="1"/>
  <c r="AU51" i="1"/>
  <c r="AV51" i="1"/>
  <c r="AW51" i="1"/>
  <c r="AX51" i="1"/>
  <c r="AY51" i="1"/>
  <c r="AS52" i="1"/>
  <c r="AT52" i="1"/>
  <c r="AU52" i="1"/>
  <c r="AV52" i="1"/>
  <c r="AW52" i="1"/>
  <c r="AX52" i="1"/>
  <c r="AY52" i="1"/>
  <c r="AS53" i="1"/>
  <c r="AT53" i="1"/>
  <c r="AU53" i="1"/>
  <c r="AV53" i="1"/>
  <c r="AW53" i="1"/>
  <c r="AX53" i="1"/>
  <c r="AY53" i="1"/>
  <c r="AY62" i="1" s="1"/>
  <c r="AR53" i="1"/>
  <c r="AR52" i="1"/>
  <c r="AR61" i="1"/>
  <c r="AR51" i="1"/>
  <c r="AR60" i="1" s="1"/>
  <c r="AT20" i="1"/>
  <c r="AU20" i="1"/>
  <c r="AV20" i="1"/>
  <c r="AW20" i="1"/>
  <c r="AX20" i="1"/>
  <c r="AY20" i="1"/>
  <c r="AT21" i="1"/>
  <c r="AU21" i="1"/>
  <c r="AV21" i="1"/>
  <c r="AW21" i="1"/>
  <c r="AX21" i="1"/>
  <c r="AY21" i="1"/>
  <c r="AT22" i="1"/>
  <c r="AU22" i="1"/>
  <c r="AV22" i="1"/>
  <c r="AW22" i="1"/>
  <c r="AX22" i="1"/>
  <c r="AY22" i="1"/>
  <c r="AS22" i="1"/>
  <c r="AS21" i="1"/>
  <c r="AR21" i="1"/>
  <c r="AR20" i="1"/>
  <c r="AS20" i="1"/>
  <c r="P27" i="1" a="1"/>
  <c r="P27" i="1" s="1"/>
  <c r="Z52" i="1"/>
  <c r="Z51" i="1"/>
  <c r="P15" i="1"/>
  <c r="Q15" i="1"/>
  <c r="R15" i="1"/>
  <c r="S15" i="1"/>
  <c r="T15" i="1"/>
  <c r="U15" i="1"/>
  <c r="V15" i="1"/>
  <c r="G15" i="1"/>
  <c r="G23" i="1"/>
  <c r="AP10" i="1"/>
  <c r="AP9" i="1"/>
  <c r="AP8" i="1"/>
  <c r="AP7" i="1"/>
  <c r="AP6" i="1"/>
  <c r="AF16" i="1"/>
  <c r="AE16" i="1"/>
  <c r="AD16" i="1"/>
  <c r="AA16" i="1"/>
  <c r="AB16" i="1"/>
  <c r="AC16" i="1"/>
  <c r="Z16" i="1"/>
  <c r="AR22" i="1"/>
  <c r="AP42" i="1"/>
  <c r="AP43" i="1"/>
  <c r="AP44" i="1"/>
  <c r="AP45" i="1"/>
  <c r="AP41" i="1"/>
  <c r="F30" i="1"/>
  <c r="P26" i="1" a="1"/>
  <c r="AM37" i="1"/>
  <c r="AH37" i="1"/>
  <c r="AI37" i="1"/>
  <c r="AO37" i="1"/>
  <c r="AK37" i="1"/>
  <c r="AL37" i="1"/>
  <c r="AJ37" i="1"/>
  <c r="AN37" i="1"/>
  <c r="AC52" i="1"/>
  <c r="AB52" i="1"/>
  <c r="AB42" i="1"/>
  <c r="AG53" i="1"/>
  <c r="Z53" i="1"/>
  <c r="AR62" i="1" s="1"/>
  <c r="AA52" i="1"/>
  <c r="AS61" i="1" s="1"/>
  <c r="Z31" i="1"/>
  <c r="AA42" i="1"/>
  <c r="AT61" i="1"/>
  <c r="P26" i="1"/>
  <c r="AU61" i="1"/>
  <c r="AF42" i="1"/>
  <c r="AF52" i="1"/>
  <c r="AX61" i="1"/>
  <c r="AF32" i="1"/>
  <c r="AF31" i="1"/>
  <c r="M15" i="1"/>
  <c r="AF30" i="1"/>
  <c r="AC43" i="1"/>
  <c r="AC53" i="1"/>
  <c r="AU62" i="1" s="1"/>
  <c r="AE32" i="1"/>
  <c r="AE31" i="1"/>
  <c r="L15" i="1"/>
  <c r="AF43" i="1"/>
  <c r="AF53" i="1"/>
  <c r="AX62" i="1"/>
  <c r="AC51" i="1"/>
  <c r="AU60" i="1" s="1"/>
  <c r="AC41" i="1"/>
  <c r="AD51" i="1"/>
  <c r="AV60" i="1"/>
  <c r="AD41" i="1"/>
  <c r="Z41" i="1"/>
  <c r="AE43" i="1"/>
  <c r="AF37" i="1"/>
  <c r="AG30" i="1" l="1"/>
  <c r="AG31" i="1"/>
  <c r="AG32" i="1"/>
  <c r="N15" i="1"/>
  <c r="AE42" i="1"/>
  <c r="AE52" i="1"/>
  <c r="AW61" i="1" s="1"/>
  <c r="AA41" i="1"/>
  <c r="E12" i="1"/>
  <c r="AA51" i="1"/>
  <c r="AD43" i="1"/>
  <c r="AQ43" i="1" s="1"/>
  <c r="AD53" i="1"/>
  <c r="AV62" i="1" s="1"/>
  <c r="AB41" i="1"/>
  <c r="AB51" i="1"/>
  <c r="AT60" i="1" s="1"/>
  <c r="AD42" i="1"/>
  <c r="AD52" i="1"/>
  <c r="AQ42" i="1"/>
  <c r="AD30" i="1"/>
  <c r="K15" i="1"/>
  <c r="AD32" i="1"/>
  <c r="AD31" i="1"/>
  <c r="AB30" i="1"/>
  <c r="AB37" i="1" s="1"/>
  <c r="AB32" i="1"/>
  <c r="AB31" i="1"/>
  <c r="I15" i="1"/>
  <c r="AA30" i="1"/>
  <c r="AA31" i="1"/>
  <c r="F15" i="1"/>
  <c r="H15" i="1"/>
  <c r="AA32" i="1"/>
  <c r="AE41" i="1"/>
  <c r="AE51" i="1"/>
  <c r="AW60" i="1" s="1"/>
  <c r="AF51" i="1"/>
  <c r="AX60" i="1" s="1"/>
  <c r="AF41" i="1"/>
  <c r="AG52" i="1"/>
  <c r="AY61" i="1" s="1"/>
  <c r="AG42" i="1"/>
  <c r="J15" i="1"/>
  <c r="AC32" i="1"/>
  <c r="AC31" i="1"/>
  <c r="AC30" i="1"/>
  <c r="AC37" i="1" s="1"/>
  <c r="AG41" i="1"/>
  <c r="AG51" i="1"/>
  <c r="AY60" i="1" s="1"/>
  <c r="AA53" i="1"/>
  <c r="AB53" i="1"/>
  <c r="AT62" i="1" s="1"/>
  <c r="Z32" i="1"/>
  <c r="Z37" i="1" s="1"/>
  <c r="P25" i="1" l="1" a="1"/>
  <c r="P25" i="1" s="1"/>
  <c r="AQ41" i="1"/>
  <c r="P30" i="1" s="1" a="1"/>
  <c r="P30" i="1" s="1"/>
  <c r="AT32" i="1"/>
  <c r="AR31" i="1"/>
  <c r="AT31" i="1"/>
  <c r="AS32" i="1"/>
  <c r="AX30" i="1"/>
  <c r="AY31" i="1"/>
  <c r="AU32" i="1"/>
  <c r="AU31" i="1"/>
  <c r="AS31" i="1"/>
  <c r="AX31" i="1"/>
  <c r="AV30" i="1"/>
  <c r="AY32" i="1"/>
  <c r="AR30" i="1"/>
  <c r="AX32" i="1"/>
  <c r="AY30" i="1"/>
  <c r="AW32" i="1"/>
  <c r="E26" i="1"/>
  <c r="AV32" i="1"/>
  <c r="AW30" i="1"/>
  <c r="AR32" i="1"/>
  <c r="AT30" i="1"/>
  <c r="AS30" i="1"/>
  <c r="P28" i="1" s="1" a="1"/>
  <c r="P28" i="1" s="1"/>
  <c r="AV31" i="1"/>
  <c r="AW31" i="1"/>
  <c r="AU30" i="1"/>
  <c r="AP51" i="1"/>
  <c r="P29" i="1" a="1"/>
  <c r="P29" i="1" s="1"/>
  <c r="AS60" i="1"/>
  <c r="AD37" i="1"/>
  <c r="AA37" i="1"/>
  <c r="AQ27" i="1" s="1"/>
  <c r="P20" i="1" s="1"/>
  <c r="AP53" i="1"/>
  <c r="AS62" i="1"/>
  <c r="AP52" i="1"/>
  <c r="AV61" i="1"/>
  <c r="AG37" i="1"/>
</calcChain>
</file>

<file path=xl/sharedStrings.xml><?xml version="1.0" encoding="utf-8"?>
<sst xmlns="http://schemas.openxmlformats.org/spreadsheetml/2006/main" count="247" uniqueCount="150">
  <si>
    <t>k</t>
  </si>
  <si>
    <t>¯</t>
  </si>
  <si>
    <t>1...M</t>
  </si>
  <si>
    <t>i</t>
  </si>
  <si>
    <t>®</t>
  </si>
  <si>
    <t>0,…,L</t>
  </si>
  <si>
    <t>Segments</t>
  </si>
  <si>
    <t>Bundles</t>
  </si>
  <si>
    <t>M</t>
  </si>
  <si>
    <t>n</t>
  </si>
  <si>
    <t>L</t>
  </si>
  <si>
    <t>#Segments</t>
  </si>
  <si>
    <t>#Components</t>
  </si>
  <si>
    <t>#Bundles</t>
  </si>
  <si>
    <t>Choices: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</si>
  <si>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ki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</si>
  <si>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ki</t>
    </r>
  </si>
  <si>
    <t>Utilities:</t>
  </si>
  <si>
    <t>Cost</t>
  </si>
  <si>
    <t>Paid Price</t>
  </si>
  <si>
    <r>
      <t>Bundle Price: P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</si>
  <si>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ki</t>
    </r>
  </si>
  <si>
    <t>Profit Margin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</si>
  <si>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ki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</si>
  <si>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ki</t>
    </r>
  </si>
  <si>
    <t>Consumer Surplus if Bought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</si>
  <si>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</si>
  <si>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SubAdd Price</t>
  </si>
  <si>
    <t>Sum Consumer Surplus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</si>
  <si>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S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</si>
  <si>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Consumer Surplus Offered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</si>
  <si>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</si>
  <si>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Bundle Assigned</t>
  </si>
  <si>
    <t>Segment Size:</t>
  </si>
  <si>
    <r>
      <t>N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</si>
  <si>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Max Utility</t>
  </si>
  <si>
    <t>Min Cost</t>
  </si>
  <si>
    <t>Utility net Price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</si>
  <si>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ki</t>
    </r>
    <r>
      <rPr>
        <b/>
        <sz val="11"/>
        <color theme="1"/>
        <rFont val="Calibri"/>
        <family val="2"/>
        <scheme val="minor"/>
      </rPr>
      <t>-P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</si>
  <si>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Total Profit</t>
  </si>
  <si>
    <t>ProfitXSize</t>
  </si>
  <si>
    <t>Repeated</t>
  </si>
  <si>
    <t>MaxU_MinC</t>
  </si>
  <si>
    <t>MaxCS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</si>
  <si>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S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>=S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</si>
  <si>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[</t>
    </r>
    <r>
      <rPr>
        <b/>
        <sz val="11"/>
        <color theme="1"/>
        <rFont val="Calibri"/>
        <family val="2"/>
        <scheme val="minor"/>
      </rPr>
      <t>S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>-(Rki-Pi)]</t>
    </r>
  </si>
  <si>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</si>
  <si>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-maxUtility*(1-Tki)</t>
    </r>
  </si>
  <si>
    <t>MaxProfit</t>
  </si>
  <si>
    <t>Bundle Bought at Optimum</t>
  </si>
  <si>
    <r>
      <t xml:space="preserve">Lagrange Multiplier </t>
    </r>
    <r>
      <rPr>
        <sz val="11"/>
        <color theme="1"/>
        <rFont val="Symbol"/>
        <family val="1"/>
        <charset val="2"/>
      </rPr>
      <t>l</t>
    </r>
  </si>
  <si>
    <t>CSifBuy</t>
  </si>
  <si>
    <t>=Sheet1!$AA$41:$AG$43</t>
  </si>
  <si>
    <t>=Sheet1!$B$3</t>
  </si>
  <si>
    <t>Lagrange_Multiplier</t>
  </si>
  <si>
    <t>=Sheet1!$AM$60</t>
  </si>
  <si>
    <t>=Sheet1!$B$1</t>
  </si>
  <si>
    <t>Max_Utility</t>
  </si>
  <si>
    <t>=Sheet1!$E$12</t>
  </si>
  <si>
    <t>=Sheet1!$AP$51:$AP$53</t>
  </si>
  <si>
    <t>=Sheet1!$E$26</t>
  </si>
  <si>
    <t>Min_Cost</t>
  </si>
  <si>
    <t>=Sheet1!$F$15</t>
  </si>
  <si>
    <t>=Sheet1!$B$2</t>
  </si>
  <si>
    <t>OneBundle</t>
  </si>
  <si>
    <t>=Sheet1!$AR$6:$AR$8</t>
  </si>
  <si>
    <t>Pi</t>
  </si>
  <si>
    <t>=Sheet1!$AA$14:$AG$14</t>
  </si>
  <si>
    <t>Pki</t>
  </si>
  <si>
    <t>=Sheet1!$AA$20:$AG$22</t>
  </si>
  <si>
    <t>RepeatedPi</t>
  </si>
  <si>
    <t>=Sheet1!$AS$20:$AY$22</t>
  </si>
  <si>
    <t>RepeatedSk</t>
  </si>
  <si>
    <t>=Sheet1!$AS$51:$AY$53</t>
  </si>
  <si>
    <t>RepeatPi_MaxU1_Tki</t>
  </si>
  <si>
    <t>=Sheet1!$AS$30:$AY$32</t>
  </si>
  <si>
    <t>Sk</t>
  </si>
  <si>
    <t>=Sheet1!$AT$41:$AT$43</t>
  </si>
  <si>
    <t>Sk_Ski</t>
  </si>
  <si>
    <t>=Sheet1!$AR$60:$AY$62</t>
  </si>
  <si>
    <t>SubAddPrice</t>
  </si>
  <si>
    <t>=Sheet1!$AA$16:$AG$16</t>
  </si>
  <si>
    <t>SumSk</t>
  </si>
  <si>
    <t>=Sheet1!$AQ$41:$AQ$43</t>
  </si>
  <si>
    <t>Tk</t>
  </si>
  <si>
    <t>=Sheet1!$AQ$6:$AQ$8</t>
  </si>
  <si>
    <t>Tki</t>
  </si>
  <si>
    <t>=Sheet1!$AA$6:$AG$8</t>
  </si>
  <si>
    <t>Total_Profit</t>
  </si>
  <si>
    <t>=Sheet1!$AQ$27</t>
  </si>
  <si>
    <t>U_net_P</t>
  </si>
  <si>
    <t>=Sheet1!$AA$51:$AG$53</t>
  </si>
  <si>
    <t>Named</t>
  </si>
  <si>
    <t>Cells</t>
  </si>
  <si>
    <r>
      <t>n</t>
    </r>
    <r>
      <rPr>
        <b/>
        <sz val="10"/>
        <color rgb="FF0033CC"/>
        <rFont val="Symbol"/>
        <family val="1"/>
        <charset val="2"/>
      </rPr>
      <t>£</t>
    </r>
    <r>
      <rPr>
        <b/>
        <sz val="10"/>
        <color rgb="FF0033CC"/>
        <rFont val="Calibri"/>
        <family val="2"/>
      </rPr>
      <t>4</t>
    </r>
  </si>
  <si>
    <r>
      <t>L=2</t>
    </r>
    <r>
      <rPr>
        <b/>
        <vertAlign val="superscript"/>
        <sz val="11"/>
        <color rgb="FF0033CC"/>
        <rFont val="Calibri"/>
        <family val="2"/>
        <scheme val="minor"/>
      </rPr>
      <t>n</t>
    </r>
    <r>
      <rPr>
        <b/>
        <sz val="11"/>
        <color rgb="FF0033CC"/>
        <rFont val="Calibri"/>
        <family val="2"/>
        <scheme val="minor"/>
      </rPr>
      <t>-1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</si>
  <si>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=bundle chosen by k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</si>
  <si>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 xml:space="preserve">ki =1: </t>
    </r>
    <r>
      <rPr>
        <b/>
        <sz val="11"/>
        <color theme="1"/>
        <rFont val="Calibri"/>
        <family val="2"/>
        <scheme val="minor"/>
      </rPr>
      <t xml:space="preserve"> k chooses i</t>
    </r>
  </si>
  <si>
    <t>40+M</t>
  </si>
  <si>
    <t>50+M</t>
  </si>
  <si>
    <t>6+M</t>
  </si>
  <si>
    <t>20+M</t>
  </si>
  <si>
    <t>30+M</t>
  </si>
  <si>
    <t>60+M</t>
  </si>
  <si>
    <t>AG</t>
  </si>
  <si>
    <t>AO</t>
  </si>
  <si>
    <t>AY</t>
  </si>
  <si>
    <t>BG</t>
  </si>
  <si>
    <t>Adjustment for #Segments M from 3</t>
  </si>
  <si>
    <t>Adjustment for #Bundles L  from 7 to 15</t>
  </si>
  <si>
    <t>NoBuy</t>
  </si>
  <si>
    <r>
      <t xml:space="preserve">To Find Optimal bundle prices, click </t>
    </r>
    <r>
      <rPr>
        <b/>
        <sz val="11"/>
        <color rgb="FFFF0000"/>
        <rFont val="Calibri"/>
        <family val="2"/>
        <scheme val="minor"/>
      </rPr>
      <t>Ctrl+Shift+B.</t>
    </r>
  </si>
  <si>
    <t>Then set the "Bundle Assigned"AQ6:AQ8 to the "Bundle Bought at Optimum" found in cells AU6:AU8,</t>
  </si>
  <si>
    <r>
      <t xml:space="preserve">and click </t>
    </r>
    <r>
      <rPr>
        <b/>
        <sz val="11"/>
        <color rgb="FFFF0000"/>
        <rFont val="Calibri"/>
        <family val="2"/>
        <scheme val="minor"/>
      </rPr>
      <t>ctrl+Shift+S</t>
    </r>
    <r>
      <rPr>
        <b/>
        <sz val="11"/>
        <color theme="1"/>
        <rFont val="Calibri"/>
        <family val="2"/>
        <scheme val="minor"/>
      </rPr>
      <t xml:space="preserve"> to run the Solver. Optimal bundle prices are in AA14:ag14</t>
    </r>
  </si>
  <si>
    <t>a</t>
  </si>
  <si>
    <t>b</t>
  </si>
  <si>
    <t>c</t>
  </si>
  <si>
    <t>ab</t>
  </si>
  <si>
    <t>ac</t>
  </si>
  <si>
    <t>bc</t>
  </si>
  <si>
    <t>abc</t>
  </si>
  <si>
    <t>Solver Saved</t>
  </si>
  <si>
    <t>Basic</t>
  </si>
  <si>
    <t>Advanced</t>
  </si>
  <si>
    <t>Experiment</t>
  </si>
  <si>
    <t>Conjoint</t>
  </si>
  <si>
    <t>Corporate</t>
  </si>
  <si>
    <t>Marketing</t>
  </si>
  <si>
    <t>Academic</t>
  </si>
  <si>
    <t>Price</t>
  </si>
  <si>
    <t>Revenue</t>
  </si>
  <si>
    <t>Mkt Size</t>
  </si>
  <si>
    <t>Profit</t>
  </si>
  <si>
    <t>Mod-choice profit</t>
  </si>
  <si>
    <t>Basic plus add-ons</t>
  </si>
  <si>
    <t>Segment</t>
  </si>
  <si>
    <t>Price of</t>
  </si>
  <si>
    <t>Consumer Surplus</t>
  </si>
  <si>
    <t xml:space="preserve">Incremental value </t>
  </si>
  <si>
    <t>Bundle #</t>
  </si>
  <si>
    <t>Size</t>
  </si>
  <si>
    <t>for just Basic</t>
  </si>
  <si>
    <t>from Basic-Pbasic</t>
  </si>
  <si>
    <t>B+A</t>
  </si>
  <si>
    <t>B+E</t>
  </si>
  <si>
    <t>B+C</t>
  </si>
  <si>
    <t>B+A+E</t>
  </si>
  <si>
    <t>B+A+C</t>
  </si>
  <si>
    <t>B+E+C</t>
  </si>
  <si>
    <t>B+A+E+C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</si>
</sst>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b/>
      <sz val="11"/>
      <color rgb="FF0033CC"/>
      <name val="Calibri"/>
      <family val="2"/>
      <scheme val="minor"/>
    </font>
    <font>
      <b/>
      <sz val="10"/>
      <color rgb="FF0033CC"/>
      <name val="Symbol"/>
      <family val="1"/>
      <charset val="2"/>
    </font>
    <font>
      <b/>
      <sz val="10"/>
      <color rgb="FF0033CC"/>
      <name val="Calibri"/>
      <family val="2"/>
    </font>
    <font>
      <b/>
      <vertAlign val="superscript"/>
      <sz val="11"/>
      <color rgb="FF0033CC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2">
    <xf numFmtId="0" fontId="0" fillId="0" borderId="0"/>
    <xf numFmtId="44" fontId="12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2" xfId="0" applyFont="1" applyBorder="1"/>
    <xf numFmtId="0" fontId="6" fillId="0" borderId="23" xfId="0" applyFont="1" applyBorder="1" applyAlignment="1">
      <alignment horizontal="center"/>
    </xf>
    <xf numFmtId="0" fontId="0" fillId="0" borderId="5" xfId="0" applyBorder="1"/>
    <xf numFmtId="0" fontId="1" fillId="0" borderId="24" xfId="0" applyFont="1" applyBorder="1"/>
    <xf numFmtId="0" fontId="1" fillId="0" borderId="25" xfId="0" applyFont="1" applyBorder="1"/>
    <xf numFmtId="0" fontId="0" fillId="0" borderId="25" xfId="0" applyBorder="1"/>
    <xf numFmtId="0" fontId="0" fillId="0" borderId="26" xfId="0" applyBorder="1"/>
    <xf numFmtId="0" fontId="1" fillId="0" borderId="27" xfId="0" applyFont="1" applyBorder="1"/>
    <xf numFmtId="0" fontId="0" fillId="0" borderId="28" xfId="0" applyBorder="1"/>
    <xf numFmtId="0" fontId="1" fillId="0" borderId="29" xfId="0" applyFont="1" applyBorder="1"/>
    <xf numFmtId="0" fontId="1" fillId="0" borderId="30" xfId="0" applyFont="1" applyBorder="1"/>
    <xf numFmtId="0" fontId="0" fillId="0" borderId="30" xfId="0" applyBorder="1"/>
    <xf numFmtId="0" fontId="0" fillId="0" borderId="31" xfId="0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3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5" fillId="0" borderId="0" xfId="0" applyFont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44" fontId="0" fillId="2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Q67"/>
  <sheetViews>
    <sheetView tabSelected="1" topLeftCell="U10" zoomScaleNormal="100" workbookViewId="0">
      <selection activeCell="AA12" sqref="AA12"/>
    </sheetView>
  </sheetViews>
  <sheetFormatPr defaultRowHeight="14.4" x14ac:dyDescent="0.3"/>
  <cols>
    <col min="1" max="2" width="1.21875" style="2" customWidth="1"/>
    <col min="3" max="4" width="1.21875" customWidth="1"/>
    <col min="7" max="22" width="6.5546875" customWidth="1"/>
    <col min="23" max="23" width="3.44140625" customWidth="1"/>
    <col min="24" max="24" width="8.77734375" style="2"/>
    <col min="25" max="25" width="8.77734375" style="2" bestFit="1" customWidth="1"/>
    <col min="26" max="33" width="6.5546875" customWidth="1"/>
    <col min="34" max="41" width="3.77734375" customWidth="1"/>
    <col min="42" max="42" width="8.77734375" bestFit="1" customWidth="1"/>
    <col min="43" max="43" width="19.21875" customWidth="1"/>
    <col min="44" max="45" width="8.77734375" bestFit="1" customWidth="1"/>
    <col min="46" max="46" width="9.44140625" customWidth="1"/>
    <col min="47" max="47" width="12.77734375" bestFit="1" customWidth="1"/>
    <col min="52" max="58" width="5" customWidth="1"/>
    <col min="60" max="60" width="3.44140625" customWidth="1"/>
    <col min="61" max="61" width="19.21875" bestFit="1" customWidth="1"/>
    <col min="65" max="65" width="3.77734375" style="2" bestFit="1" customWidth="1"/>
    <col min="66" max="66" width="2.77734375" style="2" bestFit="1" customWidth="1"/>
  </cols>
  <sheetData>
    <row r="1" spans="4:69" ht="15.6" x14ac:dyDescent="0.35">
      <c r="G1" s="45" t="s">
        <v>111</v>
      </c>
      <c r="H1" s="46"/>
      <c r="I1" s="46"/>
      <c r="J1" s="46"/>
      <c r="K1" s="46"/>
      <c r="L1" s="46"/>
      <c r="M1" s="46"/>
      <c r="N1" s="47"/>
      <c r="O1" s="47"/>
      <c r="P1" s="47"/>
      <c r="Q1" s="47"/>
      <c r="R1" s="47"/>
      <c r="S1" s="47"/>
      <c r="T1" s="48"/>
      <c r="Y1" s="13" t="s">
        <v>96</v>
      </c>
      <c r="BG1" s="9" t="s">
        <v>92</v>
      </c>
      <c r="BI1" s="24" t="s">
        <v>51</v>
      </c>
      <c r="BJ1" s="25" t="s">
        <v>52</v>
      </c>
      <c r="BK1" s="25"/>
      <c r="BL1" s="26"/>
      <c r="BM1" s="2" t="s">
        <v>8</v>
      </c>
      <c r="BN1" s="2" t="s">
        <v>10</v>
      </c>
      <c r="BO1" s="9" t="s">
        <v>108</v>
      </c>
      <c r="BP1" s="44"/>
    </row>
    <row r="2" spans="4:69" ht="15.6" x14ac:dyDescent="0.35">
      <c r="G2" s="49" t="s">
        <v>112</v>
      </c>
      <c r="H2" s="9"/>
      <c r="I2" s="9"/>
      <c r="J2" s="9"/>
      <c r="K2" s="9"/>
      <c r="L2" s="9"/>
      <c r="M2" s="9"/>
      <c r="T2" s="50"/>
      <c r="Y2" s="13" t="s">
        <v>97</v>
      </c>
      <c r="BG2" s="9" t="s">
        <v>93</v>
      </c>
      <c r="BI2" s="27" t="s">
        <v>10</v>
      </c>
      <c r="BJ2" t="s">
        <v>53</v>
      </c>
      <c r="BL2" s="28"/>
      <c r="BO2">
        <v>43</v>
      </c>
      <c r="BP2" s="4" t="s">
        <v>4</v>
      </c>
      <c r="BQ2" t="s">
        <v>98</v>
      </c>
    </row>
    <row r="3" spans="4:69" ht="15" thickBot="1" x14ac:dyDescent="0.35">
      <c r="G3" s="51" t="s">
        <v>113</v>
      </c>
      <c r="H3" s="52"/>
      <c r="I3" s="52"/>
      <c r="J3" s="52"/>
      <c r="K3" s="52"/>
      <c r="L3" s="52"/>
      <c r="M3" s="52"/>
      <c r="N3" s="53"/>
      <c r="O3" s="53"/>
      <c r="P3" s="53"/>
      <c r="Q3" s="53"/>
      <c r="R3" s="53"/>
      <c r="S3" s="53"/>
      <c r="T3" s="54"/>
      <c r="BI3" s="27" t="s">
        <v>54</v>
      </c>
      <c r="BJ3" t="s">
        <v>55</v>
      </c>
      <c r="BL3" s="28"/>
      <c r="BO3">
        <v>53</v>
      </c>
      <c r="BP3" s="4" t="s">
        <v>4</v>
      </c>
      <c r="BQ3" t="s">
        <v>99</v>
      </c>
    </row>
    <row r="4" spans="4:69" x14ac:dyDescent="0.3">
      <c r="E4" s="3" t="s">
        <v>17</v>
      </c>
      <c r="F4" s="2"/>
      <c r="X4" s="3" t="s">
        <v>14</v>
      </c>
      <c r="AQ4" s="9" t="s">
        <v>32</v>
      </c>
      <c r="AR4" s="9"/>
      <c r="AT4" s="9"/>
      <c r="BI4" s="27" t="s">
        <v>8</v>
      </c>
      <c r="BJ4" t="s">
        <v>56</v>
      </c>
      <c r="BL4" s="28"/>
      <c r="BO4">
        <v>8</v>
      </c>
      <c r="BP4" s="4" t="s">
        <v>4</v>
      </c>
      <c r="BQ4" t="s">
        <v>100</v>
      </c>
    </row>
    <row r="5" spans="4:69" ht="16.2" thickBot="1" x14ac:dyDescent="0.4">
      <c r="D5" s="2"/>
      <c r="E5" s="2"/>
      <c r="F5" s="3" t="s">
        <v>16</v>
      </c>
      <c r="G5" s="2">
        <v>0</v>
      </c>
      <c r="H5" s="2">
        <v>1</v>
      </c>
      <c r="I5" s="2">
        <v>2</v>
      </c>
      <c r="J5" s="2">
        <v>3</v>
      </c>
      <c r="K5" s="2">
        <v>4</v>
      </c>
      <c r="L5" s="2">
        <v>5</v>
      </c>
      <c r="M5" s="2">
        <v>6</v>
      </c>
      <c r="N5" s="2">
        <v>7</v>
      </c>
      <c r="O5" s="2">
        <v>8</v>
      </c>
      <c r="P5" s="2">
        <v>9</v>
      </c>
      <c r="Q5" s="2">
        <v>10</v>
      </c>
      <c r="R5" s="2">
        <v>11</v>
      </c>
      <c r="S5" s="2">
        <v>12</v>
      </c>
      <c r="T5" s="2">
        <v>13</v>
      </c>
      <c r="U5" s="2">
        <v>14</v>
      </c>
      <c r="V5" s="2">
        <v>15</v>
      </c>
      <c r="W5" s="2"/>
      <c r="Y5" s="3" t="s">
        <v>15</v>
      </c>
      <c r="Z5" s="2">
        <v>0</v>
      </c>
      <c r="AA5" s="2">
        <v>1</v>
      </c>
      <c r="AB5" s="2">
        <v>2</v>
      </c>
      <c r="AC5" s="2">
        <v>3</v>
      </c>
      <c r="AD5" s="2">
        <v>4</v>
      </c>
      <c r="AE5" s="2">
        <v>5</v>
      </c>
      <c r="AF5" s="2">
        <v>6</v>
      </c>
      <c r="AG5" s="2">
        <v>7</v>
      </c>
      <c r="AH5" s="2">
        <v>8</v>
      </c>
      <c r="AI5" s="2">
        <v>9</v>
      </c>
      <c r="AJ5" s="2">
        <v>10</v>
      </c>
      <c r="AK5" s="2">
        <v>11</v>
      </c>
      <c r="AL5" s="2">
        <v>12</v>
      </c>
      <c r="AM5" s="2">
        <v>13</v>
      </c>
      <c r="AN5" s="2">
        <v>14</v>
      </c>
      <c r="AO5" s="2">
        <v>15</v>
      </c>
      <c r="AP5" s="2" t="s">
        <v>0</v>
      </c>
      <c r="AQ5" s="3" t="s">
        <v>31</v>
      </c>
      <c r="AR5" s="3"/>
      <c r="AU5" s="9" t="s">
        <v>49</v>
      </c>
      <c r="BI5" s="27" t="s">
        <v>57</v>
      </c>
      <c r="BJ5" t="s">
        <v>58</v>
      </c>
      <c r="BL5" s="28"/>
      <c r="BO5">
        <v>22</v>
      </c>
      <c r="BP5" s="4" t="s">
        <v>4</v>
      </c>
      <c r="BQ5" t="s">
        <v>101</v>
      </c>
    </row>
    <row r="6" spans="4:69" ht="15" thickBot="1" x14ac:dyDescent="0.35">
      <c r="D6" s="2"/>
      <c r="E6" s="3" t="s">
        <v>6</v>
      </c>
      <c r="F6" s="2">
        <v>1</v>
      </c>
      <c r="G6" s="5">
        <v>0</v>
      </c>
      <c r="H6" s="6">
        <f>'Initial data'!B13</f>
        <v>450</v>
      </c>
      <c r="I6" s="6">
        <f>'Initial data'!C13</f>
        <v>500</v>
      </c>
      <c r="J6" s="6">
        <f>'Initial data'!D13</f>
        <v>450</v>
      </c>
      <c r="K6" s="6">
        <f>'Initial data'!E13</f>
        <v>800</v>
      </c>
      <c r="L6" s="6">
        <f>'Initial data'!F13</f>
        <v>750</v>
      </c>
      <c r="M6" s="6">
        <f>'Initial data'!G13</f>
        <v>800</v>
      </c>
      <c r="N6" s="6">
        <f>'Initial data'!H13</f>
        <v>1100</v>
      </c>
      <c r="O6" s="6"/>
      <c r="P6" s="6"/>
      <c r="Q6" s="6"/>
      <c r="R6" s="6"/>
      <c r="S6" s="6"/>
      <c r="T6" s="6"/>
      <c r="U6" s="6"/>
      <c r="V6" s="7"/>
      <c r="W6" s="2"/>
      <c r="X6" s="3" t="s">
        <v>6</v>
      </c>
      <c r="Y6" s="2">
        <v>1</v>
      </c>
      <c r="Z6" s="21">
        <f>IF($AQ6=Z$5,1,0)</f>
        <v>0</v>
      </c>
      <c r="AA6" s="21">
        <f t="shared" ref="AA6:AG6" si="0">IF($AQ6=AA$5,1,0)</f>
        <v>0</v>
      </c>
      <c r="AB6" s="21">
        <f t="shared" si="0"/>
        <v>0</v>
      </c>
      <c r="AC6" s="21">
        <f t="shared" si="0"/>
        <v>0</v>
      </c>
      <c r="AD6" s="21">
        <f t="shared" si="0"/>
        <v>0</v>
      </c>
      <c r="AE6" s="21">
        <f t="shared" si="0"/>
        <v>0</v>
      </c>
      <c r="AF6" s="21">
        <f t="shared" si="0"/>
        <v>0</v>
      </c>
      <c r="AG6" s="21">
        <f t="shared" si="0"/>
        <v>1</v>
      </c>
      <c r="AH6" s="5"/>
      <c r="AI6" s="5"/>
      <c r="AJ6" s="5"/>
      <c r="AK6" s="5"/>
      <c r="AL6" s="5"/>
      <c r="AM6" s="5"/>
      <c r="AN6" s="5"/>
      <c r="AO6" s="18"/>
      <c r="AP6" s="2">
        <f>Y6</f>
        <v>1</v>
      </c>
      <c r="AQ6" s="14">
        <v>7</v>
      </c>
      <c r="AT6" s="2"/>
      <c r="AU6" s="14">
        <v>7</v>
      </c>
      <c r="BI6" s="27" t="s">
        <v>43</v>
      </c>
      <c r="BJ6" t="s">
        <v>59</v>
      </c>
      <c r="BL6" s="28"/>
      <c r="BM6" s="2" t="s">
        <v>8</v>
      </c>
      <c r="BO6">
        <v>21</v>
      </c>
      <c r="BP6" s="4" t="s">
        <v>4</v>
      </c>
      <c r="BQ6" t="s">
        <v>102</v>
      </c>
    </row>
    <row r="7" spans="4:69" ht="15" thickBot="1" x14ac:dyDescent="0.35">
      <c r="E7" s="2" t="s">
        <v>0</v>
      </c>
      <c r="F7" s="2">
        <v>2</v>
      </c>
      <c r="G7" s="5">
        <v>0</v>
      </c>
      <c r="H7" s="6">
        <f>'Initial data'!B14</f>
        <v>350</v>
      </c>
      <c r="I7" s="6">
        <f>'Initial data'!C14</f>
        <v>250</v>
      </c>
      <c r="J7" s="6">
        <f>'Initial data'!D14</f>
        <v>350</v>
      </c>
      <c r="K7" s="6">
        <f>'Initial data'!E14</f>
        <v>500</v>
      </c>
      <c r="L7" s="6">
        <f>'Initial data'!F14</f>
        <v>600</v>
      </c>
      <c r="M7" s="6">
        <f>'Initial data'!G14</f>
        <v>500</v>
      </c>
      <c r="N7" s="6">
        <f>'Initial data'!H14</f>
        <v>750</v>
      </c>
      <c r="O7" s="6"/>
      <c r="P7" s="6"/>
      <c r="Q7" s="6"/>
      <c r="R7" s="6"/>
      <c r="S7" s="6"/>
      <c r="T7" s="6"/>
      <c r="U7" s="6"/>
      <c r="V7" s="7"/>
      <c r="W7" s="2"/>
      <c r="X7" s="2" t="s">
        <v>0</v>
      </c>
      <c r="Y7" s="2">
        <v>2</v>
      </c>
      <c r="Z7" s="21">
        <f t="shared" ref="Z7:AG8" si="1">IF($AQ7=Z$5,1,0)</f>
        <v>0</v>
      </c>
      <c r="AA7" s="21">
        <f t="shared" si="1"/>
        <v>0</v>
      </c>
      <c r="AB7" s="21">
        <f t="shared" si="1"/>
        <v>0</v>
      </c>
      <c r="AC7" s="21">
        <f t="shared" si="1"/>
        <v>1</v>
      </c>
      <c r="AD7" s="21">
        <f t="shared" si="1"/>
        <v>0</v>
      </c>
      <c r="AE7" s="21">
        <f t="shared" si="1"/>
        <v>0</v>
      </c>
      <c r="AF7" s="21">
        <f t="shared" si="1"/>
        <v>0</v>
      </c>
      <c r="AG7" s="21">
        <f t="shared" si="1"/>
        <v>0</v>
      </c>
      <c r="AH7" s="5"/>
      <c r="AI7" s="5"/>
      <c r="AJ7" s="5"/>
      <c r="AK7" s="5"/>
      <c r="AL7" s="5"/>
      <c r="AM7" s="5"/>
      <c r="AN7" s="5"/>
      <c r="AO7" s="18"/>
      <c r="AP7" s="2">
        <f t="shared" ref="AP7:AP10" si="2">Y7</f>
        <v>2</v>
      </c>
      <c r="AQ7" s="15">
        <v>3</v>
      </c>
      <c r="AT7" s="2"/>
      <c r="AU7" s="15">
        <v>3</v>
      </c>
      <c r="BI7" s="27" t="s">
        <v>42</v>
      </c>
      <c r="BJ7" t="s">
        <v>60</v>
      </c>
      <c r="BL7" s="28"/>
      <c r="BO7">
        <v>62</v>
      </c>
      <c r="BP7" s="4" t="s">
        <v>4</v>
      </c>
      <c r="BQ7" t="s">
        <v>103</v>
      </c>
    </row>
    <row r="8" spans="4:69" ht="15" thickBot="1" x14ac:dyDescent="0.35">
      <c r="E8" s="4" t="s">
        <v>1</v>
      </c>
      <c r="F8" s="2">
        <v>3</v>
      </c>
      <c r="G8" s="5">
        <v>0</v>
      </c>
      <c r="H8" s="6">
        <f>'Initial data'!B15</f>
        <v>400</v>
      </c>
      <c r="I8" s="6">
        <f>'Initial data'!C15</f>
        <v>150</v>
      </c>
      <c r="J8" s="6">
        <f>'Initial data'!D15</f>
        <v>100</v>
      </c>
      <c r="K8" s="6">
        <f>'Initial data'!E15</f>
        <v>500</v>
      </c>
      <c r="L8" s="6">
        <f>'Initial data'!F15</f>
        <v>450</v>
      </c>
      <c r="M8" s="6">
        <f>'Initial data'!G15</f>
        <v>200</v>
      </c>
      <c r="N8" s="6">
        <f>'Initial data'!H15</f>
        <v>550</v>
      </c>
      <c r="O8" s="6"/>
      <c r="P8" s="6"/>
      <c r="Q8" s="6"/>
      <c r="R8" s="6"/>
      <c r="S8" s="6"/>
      <c r="T8" s="6"/>
      <c r="U8" s="6"/>
      <c r="V8" s="7"/>
      <c r="W8" s="2"/>
      <c r="X8" s="4" t="s">
        <v>1</v>
      </c>
      <c r="Y8" s="2">
        <v>3</v>
      </c>
      <c r="Z8" s="21">
        <f t="shared" si="1"/>
        <v>0</v>
      </c>
      <c r="AA8" s="21">
        <f t="shared" si="1"/>
        <v>1</v>
      </c>
      <c r="AB8" s="21">
        <f t="shared" si="1"/>
        <v>0</v>
      </c>
      <c r="AC8" s="21">
        <f t="shared" si="1"/>
        <v>0</v>
      </c>
      <c r="AD8" s="21">
        <f t="shared" si="1"/>
        <v>0</v>
      </c>
      <c r="AE8" s="21">
        <f t="shared" si="1"/>
        <v>0</v>
      </c>
      <c r="AF8" s="21">
        <f t="shared" si="1"/>
        <v>0</v>
      </c>
      <c r="AG8" s="21">
        <f t="shared" si="1"/>
        <v>0</v>
      </c>
      <c r="AH8" s="5"/>
      <c r="AI8" s="5"/>
      <c r="AJ8" s="5"/>
      <c r="AK8" s="5"/>
      <c r="AL8" s="5"/>
      <c r="AM8" s="5"/>
      <c r="AN8" s="5"/>
      <c r="AO8" s="18"/>
      <c r="AP8" s="2">
        <f t="shared" si="2"/>
        <v>3</v>
      </c>
      <c r="AQ8" s="15">
        <v>1</v>
      </c>
      <c r="AT8" s="2"/>
      <c r="AU8" s="15">
        <v>1</v>
      </c>
      <c r="BI8" s="27" t="s">
        <v>61</v>
      </c>
      <c r="BJ8" t="s">
        <v>62</v>
      </c>
      <c r="BL8" s="28"/>
    </row>
    <row r="9" spans="4:69" ht="15" thickBot="1" x14ac:dyDescent="0.35">
      <c r="E9" s="2" t="s">
        <v>2</v>
      </c>
      <c r="F9" s="2">
        <v>4</v>
      </c>
      <c r="G9" s="5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  <c r="W9" s="2"/>
      <c r="X9" s="2" t="s">
        <v>2</v>
      </c>
      <c r="Y9" s="2">
        <v>4</v>
      </c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18"/>
      <c r="AP9" s="2">
        <f t="shared" si="2"/>
        <v>4</v>
      </c>
      <c r="AQ9" s="15"/>
      <c r="AT9" s="2"/>
      <c r="AU9" s="15"/>
      <c r="BI9" s="27" t="s">
        <v>9</v>
      </c>
      <c r="BJ9" t="s">
        <v>63</v>
      </c>
      <c r="BL9" s="28"/>
    </row>
    <row r="10" spans="4:69" ht="15" thickBot="1" x14ac:dyDescent="0.35">
      <c r="E10" s="2"/>
      <c r="F10" s="2">
        <v>5</v>
      </c>
      <c r="G10" s="5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  <c r="W10" s="2"/>
      <c r="Y10" s="2">
        <v>5</v>
      </c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18"/>
      <c r="AP10" s="2">
        <f t="shared" si="2"/>
        <v>5</v>
      </c>
      <c r="AQ10" s="16"/>
      <c r="AT10" s="2"/>
      <c r="AU10" s="16"/>
      <c r="BI10" s="27" t="s">
        <v>64</v>
      </c>
      <c r="BJ10" t="s">
        <v>65</v>
      </c>
      <c r="BL10" s="28"/>
      <c r="BM10" s="2" t="s">
        <v>8</v>
      </c>
    </row>
    <row r="11" spans="4:69" ht="15" thickBot="1" x14ac:dyDescent="0.35">
      <c r="E11" s="3" t="s">
        <v>35</v>
      </c>
      <c r="F11" s="2"/>
      <c r="G11" s="55" t="s">
        <v>110</v>
      </c>
      <c r="H11" s="56" t="s">
        <v>114</v>
      </c>
      <c r="I11" s="56" t="s">
        <v>115</v>
      </c>
      <c r="J11" s="56" t="s">
        <v>116</v>
      </c>
      <c r="K11" s="56" t="s">
        <v>117</v>
      </c>
      <c r="L11" s="56" t="s">
        <v>118</v>
      </c>
      <c r="M11" s="56" t="s">
        <v>119</v>
      </c>
      <c r="N11" s="56" t="s">
        <v>120</v>
      </c>
      <c r="Q11" s="1" t="s">
        <v>3</v>
      </c>
      <c r="R11" s="8" t="s">
        <v>4</v>
      </c>
      <c r="S11" t="s">
        <v>5</v>
      </c>
      <c r="AF11" s="1" t="s">
        <v>3</v>
      </c>
      <c r="AG11" s="8" t="s">
        <v>4</v>
      </c>
      <c r="AH11" t="s">
        <v>5</v>
      </c>
      <c r="AT11" s="9" t="s">
        <v>48</v>
      </c>
      <c r="AU11" s="23">
        <v>466.64499999999998</v>
      </c>
      <c r="BI11" s="27" t="s">
        <v>66</v>
      </c>
      <c r="BJ11" t="s">
        <v>67</v>
      </c>
      <c r="BL11" s="28"/>
      <c r="BN11" s="2" t="s">
        <v>10</v>
      </c>
      <c r="BO11" s="9" t="s">
        <v>109</v>
      </c>
    </row>
    <row r="12" spans="4:69" x14ac:dyDescent="0.3">
      <c r="E12" s="2">
        <f>MAX((G6:V10))</f>
        <v>1100</v>
      </c>
      <c r="F12" s="2"/>
      <c r="R12" s="9" t="s">
        <v>7</v>
      </c>
      <c r="AG12" s="9" t="s">
        <v>7</v>
      </c>
      <c r="BI12" s="27" t="s">
        <v>68</v>
      </c>
      <c r="BJ12" t="s">
        <v>69</v>
      </c>
      <c r="BL12" s="28"/>
      <c r="BM12" s="2" t="s">
        <v>8</v>
      </c>
      <c r="BN12" s="2" t="s">
        <v>10</v>
      </c>
      <c r="BO12" s="2" t="s">
        <v>104</v>
      </c>
      <c r="BP12" s="4" t="s">
        <v>4</v>
      </c>
      <c r="BQ12" s="2" t="s">
        <v>105</v>
      </c>
    </row>
    <row r="13" spans="4:69" ht="15" thickBot="1" x14ac:dyDescent="0.35">
      <c r="E13" s="2"/>
      <c r="F13" s="2"/>
      <c r="N13" s="9"/>
      <c r="AG13" s="9"/>
      <c r="BI13" s="27" t="s">
        <v>70</v>
      </c>
      <c r="BJ13" t="s">
        <v>71</v>
      </c>
      <c r="BL13" s="28"/>
      <c r="BM13" s="2" t="s">
        <v>8</v>
      </c>
      <c r="BN13" s="2" t="s">
        <v>10</v>
      </c>
      <c r="BO13" s="2" t="s">
        <v>106</v>
      </c>
      <c r="BP13" s="4" t="s">
        <v>4</v>
      </c>
      <c r="BQ13" s="2" t="s">
        <v>107</v>
      </c>
    </row>
    <row r="14" spans="4:69" ht="16.2" thickBot="1" x14ac:dyDescent="0.4">
      <c r="F14" s="9" t="s">
        <v>18</v>
      </c>
      <c r="G14" s="10">
        <v>0</v>
      </c>
      <c r="H14" s="11">
        <f>'Initial data'!B16</f>
        <v>150</v>
      </c>
      <c r="I14" s="11">
        <f>'Initial data'!C16</f>
        <v>100</v>
      </c>
      <c r="J14" s="11">
        <f>'Initial data'!D16</f>
        <v>150</v>
      </c>
      <c r="K14" s="11">
        <f>'Initial data'!E16</f>
        <v>200</v>
      </c>
      <c r="L14" s="11">
        <f>'Initial data'!F16</f>
        <v>250</v>
      </c>
      <c r="M14" s="11">
        <f>'Initial data'!G16</f>
        <v>200</v>
      </c>
      <c r="N14" s="11">
        <f>'Initial data'!H16</f>
        <v>300</v>
      </c>
      <c r="O14" s="11"/>
      <c r="P14" s="11"/>
      <c r="Q14" s="11"/>
      <c r="R14" s="11"/>
      <c r="S14" s="11"/>
      <c r="T14" s="11"/>
      <c r="U14" s="11"/>
      <c r="V14" s="12"/>
      <c r="X14" s="13" t="s">
        <v>20</v>
      </c>
      <c r="Z14" s="79">
        <v>0</v>
      </c>
      <c r="AA14" s="80">
        <v>400</v>
      </c>
      <c r="AB14" s="80">
        <v>400</v>
      </c>
      <c r="AC14" s="80">
        <v>350</v>
      </c>
      <c r="AD14" s="80">
        <v>700</v>
      </c>
      <c r="AE14" s="80">
        <v>650</v>
      </c>
      <c r="AF14" s="80">
        <v>750</v>
      </c>
      <c r="AG14" s="80">
        <v>1000</v>
      </c>
      <c r="AH14" s="11"/>
      <c r="AI14" s="11"/>
      <c r="AJ14" s="11"/>
      <c r="AK14" s="11"/>
      <c r="AL14" s="11"/>
      <c r="AM14" s="11"/>
      <c r="AN14" s="11"/>
      <c r="AO14" s="12"/>
      <c r="BI14" s="27" t="s">
        <v>72</v>
      </c>
      <c r="BJ14" t="s">
        <v>73</v>
      </c>
      <c r="BL14" s="28"/>
      <c r="BM14" s="2" t="s">
        <v>8</v>
      </c>
      <c r="BN14" s="2" t="s">
        <v>10</v>
      </c>
      <c r="BP14" s="4"/>
    </row>
    <row r="15" spans="4:69" ht="15" thickBot="1" x14ac:dyDescent="0.35">
      <c r="E15" s="19" t="s">
        <v>36</v>
      </c>
      <c r="F15">
        <f>MIN(H14:V14)</f>
        <v>100</v>
      </c>
      <c r="G15">
        <f>IF(G14="",1000000,G14)</f>
        <v>0</v>
      </c>
      <c r="H15">
        <f t="shared" ref="H15:V15" si="3">IF(H14="",1000000,H14)</f>
        <v>150</v>
      </c>
      <c r="I15">
        <f t="shared" si="3"/>
        <v>100</v>
      </c>
      <c r="J15">
        <f t="shared" si="3"/>
        <v>150</v>
      </c>
      <c r="K15">
        <f t="shared" si="3"/>
        <v>200</v>
      </c>
      <c r="L15">
        <f t="shared" si="3"/>
        <v>250</v>
      </c>
      <c r="M15">
        <f t="shared" si="3"/>
        <v>200</v>
      </c>
      <c r="N15">
        <f t="shared" si="3"/>
        <v>300</v>
      </c>
      <c r="O15">
        <f>IF(O14="",1000000,O14)</f>
        <v>1000000</v>
      </c>
      <c r="P15">
        <f t="shared" si="3"/>
        <v>1000000</v>
      </c>
      <c r="Q15">
        <f t="shared" si="3"/>
        <v>1000000</v>
      </c>
      <c r="R15">
        <f t="shared" si="3"/>
        <v>1000000</v>
      </c>
      <c r="S15">
        <f t="shared" si="3"/>
        <v>1000000</v>
      </c>
      <c r="T15">
        <f t="shared" si="3"/>
        <v>1000000</v>
      </c>
      <c r="U15">
        <f t="shared" si="3"/>
        <v>1000000</v>
      </c>
      <c r="V15">
        <f t="shared" si="3"/>
        <v>1000000</v>
      </c>
      <c r="X15" s="13"/>
      <c r="AG15" s="44">
        <f>AD14+AC14</f>
        <v>1050</v>
      </c>
      <c r="BI15" s="27" t="s">
        <v>74</v>
      </c>
      <c r="BJ15" t="s">
        <v>75</v>
      </c>
      <c r="BL15" s="28"/>
      <c r="BM15" s="2" t="s">
        <v>8</v>
      </c>
      <c r="BN15" s="2" t="s">
        <v>10</v>
      </c>
      <c r="BP15" s="4"/>
    </row>
    <row r="16" spans="4:69" ht="15" thickBot="1" x14ac:dyDescent="0.35">
      <c r="E16" s="3" t="s">
        <v>33</v>
      </c>
      <c r="F16" s="2"/>
      <c r="X16" s="13" t="s">
        <v>27</v>
      </c>
      <c r="Z16" s="10">
        <f>Z14</f>
        <v>0</v>
      </c>
      <c r="AA16" s="11">
        <f t="shared" ref="AA16:AC16" si="4">AA14</f>
        <v>400</v>
      </c>
      <c r="AB16" s="11">
        <f t="shared" si="4"/>
        <v>400</v>
      </c>
      <c r="AC16" s="11">
        <f t="shared" si="4"/>
        <v>350</v>
      </c>
      <c r="AD16" s="11">
        <f>AA14+AB14</f>
        <v>800</v>
      </c>
      <c r="AE16" s="11">
        <f>AA14+AC14</f>
        <v>750</v>
      </c>
      <c r="AF16" s="11">
        <f>AB14+AC14</f>
        <v>750</v>
      </c>
      <c r="AG16" s="60">
        <f>AA14+AB14+AC14</f>
        <v>1150</v>
      </c>
      <c r="AH16" s="11"/>
      <c r="AI16" s="11"/>
      <c r="AJ16" s="11"/>
      <c r="AK16" s="11"/>
      <c r="AL16" s="11"/>
      <c r="AM16" s="11"/>
      <c r="AN16" s="11"/>
      <c r="AO16" s="12"/>
      <c r="BI16" s="27" t="s">
        <v>76</v>
      </c>
      <c r="BJ16" t="s">
        <v>77</v>
      </c>
      <c r="BL16" s="28"/>
      <c r="BM16" s="2" t="s">
        <v>8</v>
      </c>
      <c r="BN16" s="2" t="s">
        <v>10</v>
      </c>
      <c r="BP16" s="4"/>
    </row>
    <row r="17" spans="3:68" ht="16.2" thickBot="1" x14ac:dyDescent="0.4">
      <c r="E17" s="2"/>
      <c r="F17" s="3" t="s">
        <v>34</v>
      </c>
      <c r="G17" s="2">
        <v>0</v>
      </c>
      <c r="AG17" s="61">
        <f>AE14+AB14</f>
        <v>1050</v>
      </c>
      <c r="BI17" s="27" t="s">
        <v>78</v>
      </c>
      <c r="BJ17" t="s">
        <v>79</v>
      </c>
      <c r="BL17" s="28"/>
      <c r="BM17" s="2" t="s">
        <v>8</v>
      </c>
      <c r="BN17" s="2" t="s">
        <v>10</v>
      </c>
      <c r="BP17" s="4"/>
    </row>
    <row r="18" spans="3:68" ht="15" thickBot="1" x14ac:dyDescent="0.35">
      <c r="E18" s="3" t="s">
        <v>6</v>
      </c>
      <c r="F18" s="2">
        <v>1</v>
      </c>
      <c r="G18" s="18">
        <f>'Initial data'!I13</f>
        <v>0.5</v>
      </c>
      <c r="X18" s="3" t="s">
        <v>19</v>
      </c>
      <c r="AG18" s="62">
        <f>AF14+AA14</f>
        <v>1150</v>
      </c>
      <c r="AQ18" s="9" t="s">
        <v>41</v>
      </c>
      <c r="BI18" s="27" t="s">
        <v>80</v>
      </c>
      <c r="BJ18" t="s">
        <v>81</v>
      </c>
      <c r="BL18" s="28"/>
      <c r="BN18" s="2" t="s">
        <v>10</v>
      </c>
    </row>
    <row r="19" spans="3:68" ht="16.2" thickBot="1" x14ac:dyDescent="0.4">
      <c r="E19" s="2" t="s">
        <v>0</v>
      </c>
      <c r="F19" s="2">
        <v>2</v>
      </c>
      <c r="G19" s="18">
        <f>'Initial data'!I14</f>
        <v>0.1666</v>
      </c>
      <c r="P19" s="2" t="s">
        <v>121</v>
      </c>
      <c r="Y19" s="3" t="s">
        <v>21</v>
      </c>
      <c r="Z19" s="2">
        <v>0</v>
      </c>
      <c r="AA19" s="2">
        <v>1</v>
      </c>
      <c r="AB19" s="2">
        <v>2</v>
      </c>
      <c r="AC19" s="2">
        <v>3</v>
      </c>
      <c r="AD19" s="2">
        <v>4</v>
      </c>
      <c r="AE19" s="2">
        <v>5</v>
      </c>
      <c r="AF19" s="2">
        <v>6</v>
      </c>
      <c r="AG19" s="2">
        <v>7</v>
      </c>
      <c r="AH19" s="2">
        <v>8</v>
      </c>
      <c r="AI19" s="2">
        <v>9</v>
      </c>
      <c r="AJ19" s="2">
        <v>10</v>
      </c>
      <c r="AK19" s="2">
        <v>11</v>
      </c>
      <c r="AL19" s="2">
        <v>12</v>
      </c>
      <c r="AM19" s="2">
        <v>13</v>
      </c>
      <c r="AN19" s="2">
        <v>14</v>
      </c>
      <c r="AO19" s="2">
        <v>15</v>
      </c>
      <c r="AQ19" s="20" t="s">
        <v>46</v>
      </c>
      <c r="AR19" s="2">
        <v>0</v>
      </c>
      <c r="AS19" s="2">
        <v>1</v>
      </c>
      <c r="AT19" s="2">
        <v>2</v>
      </c>
      <c r="AU19" s="2">
        <v>3</v>
      </c>
      <c r="AV19" s="2">
        <v>4</v>
      </c>
      <c r="AW19" s="2">
        <v>5</v>
      </c>
      <c r="AX19" s="2">
        <v>6</v>
      </c>
      <c r="AY19" s="2">
        <v>7</v>
      </c>
      <c r="AZ19" s="2">
        <v>8</v>
      </c>
      <c r="BA19" s="2">
        <v>9</v>
      </c>
      <c r="BB19" s="2">
        <v>10</v>
      </c>
      <c r="BC19" s="2">
        <v>11</v>
      </c>
      <c r="BD19" s="2">
        <v>12</v>
      </c>
      <c r="BE19" s="2">
        <v>13</v>
      </c>
      <c r="BF19" s="2">
        <v>14</v>
      </c>
      <c r="BG19" s="2">
        <v>15</v>
      </c>
      <c r="BI19" s="27" t="s">
        <v>82</v>
      </c>
      <c r="BJ19" t="s">
        <v>83</v>
      </c>
      <c r="BL19" s="28"/>
      <c r="BM19" s="2" t="s">
        <v>8</v>
      </c>
    </row>
    <row r="20" spans="3:68" ht="15" thickBot="1" x14ac:dyDescent="0.35">
      <c r="E20" s="4" t="s">
        <v>1</v>
      </c>
      <c r="F20" s="2">
        <v>3</v>
      </c>
      <c r="G20" s="18">
        <f>'Initial data'!I15</f>
        <v>0.33329999999999999</v>
      </c>
      <c r="P20" s="57">
        <f>MAX($AQ$27)</f>
        <v>466.64499999999998</v>
      </c>
      <c r="X20" s="3" t="s">
        <v>6</v>
      </c>
      <c r="Y20" s="2">
        <v>1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1000</v>
      </c>
      <c r="AH20" s="5"/>
      <c r="AI20" s="5"/>
      <c r="AJ20" s="5"/>
      <c r="AK20" s="5"/>
      <c r="AL20" s="5"/>
      <c r="AM20" s="5"/>
      <c r="AN20" s="5"/>
      <c r="AO20" s="18"/>
      <c r="AQ20" s="2">
        <v>1</v>
      </c>
      <c r="AR20" s="5">
        <f t="shared" ref="AR20:AS20" si="5">Z14</f>
        <v>0</v>
      </c>
      <c r="AS20" s="5">
        <f t="shared" si="5"/>
        <v>400</v>
      </c>
      <c r="AT20" s="5">
        <f t="shared" ref="AT20" si="6">AB14</f>
        <v>400</v>
      </c>
      <c r="AU20" s="5">
        <f t="shared" ref="AU20" si="7">AC14</f>
        <v>350</v>
      </c>
      <c r="AV20" s="5">
        <f t="shared" ref="AV20" si="8">AD14</f>
        <v>700</v>
      </c>
      <c r="AW20" s="5">
        <f t="shared" ref="AW20" si="9">AE14</f>
        <v>650</v>
      </c>
      <c r="AX20" s="5">
        <f t="shared" ref="AX20" si="10">AF14</f>
        <v>750</v>
      </c>
      <c r="AY20" s="5">
        <f t="shared" ref="AY20" si="11">AG14</f>
        <v>1000</v>
      </c>
      <c r="AZ20" s="5"/>
      <c r="BA20" s="5"/>
      <c r="BB20" s="5"/>
      <c r="BC20" s="5"/>
      <c r="BD20" s="5"/>
      <c r="BE20" s="5"/>
      <c r="BF20" s="5"/>
      <c r="BG20" s="18"/>
      <c r="BI20" s="27" t="s">
        <v>84</v>
      </c>
      <c r="BJ20" t="s">
        <v>85</v>
      </c>
      <c r="BL20" s="28"/>
      <c r="BM20" s="2" t="s">
        <v>8</v>
      </c>
    </row>
    <row r="21" spans="3:68" ht="15" thickBot="1" x14ac:dyDescent="0.35">
      <c r="E21" s="2" t="s">
        <v>2</v>
      </c>
      <c r="F21" s="2">
        <v>4</v>
      </c>
      <c r="G21" s="18"/>
      <c r="P21" s="58">
        <f>COUNT($AA$14:$AG$14,$AA$20:$AG$22,$AT$41:$AT$43)</f>
        <v>31</v>
      </c>
      <c r="X21" s="2" t="s">
        <v>0</v>
      </c>
      <c r="Y21" s="2">
        <v>2</v>
      </c>
      <c r="Z21" s="21">
        <v>0</v>
      </c>
      <c r="AA21" s="21">
        <v>0</v>
      </c>
      <c r="AB21" s="21">
        <v>0</v>
      </c>
      <c r="AC21" s="21">
        <v>350</v>
      </c>
      <c r="AD21" s="21">
        <v>0</v>
      </c>
      <c r="AE21" s="21">
        <v>0</v>
      </c>
      <c r="AF21" s="21">
        <v>0</v>
      </c>
      <c r="AG21" s="21">
        <v>0</v>
      </c>
      <c r="AH21" s="5"/>
      <c r="AI21" s="5"/>
      <c r="AJ21" s="5"/>
      <c r="AK21" s="5"/>
      <c r="AL21" s="5"/>
      <c r="AM21" s="5"/>
      <c r="AN21" s="5"/>
      <c r="AO21" s="18"/>
      <c r="AQ21" s="2">
        <v>2</v>
      </c>
      <c r="AR21" s="5">
        <f t="shared" ref="AR21:AR22" si="12">Z15</f>
        <v>0</v>
      </c>
      <c r="AS21" s="5">
        <f>AA14</f>
        <v>400</v>
      </c>
      <c r="AT21" s="5">
        <f t="shared" ref="AT21:AY21" si="13">AB14</f>
        <v>400</v>
      </c>
      <c r="AU21" s="5">
        <f t="shared" si="13"/>
        <v>350</v>
      </c>
      <c r="AV21" s="5">
        <f t="shared" si="13"/>
        <v>700</v>
      </c>
      <c r="AW21" s="5">
        <f t="shared" si="13"/>
        <v>650</v>
      </c>
      <c r="AX21" s="5">
        <f t="shared" si="13"/>
        <v>750</v>
      </c>
      <c r="AY21" s="5">
        <f t="shared" si="13"/>
        <v>1000</v>
      </c>
      <c r="AZ21" s="5"/>
      <c r="BA21" s="5"/>
      <c r="BB21" s="5"/>
      <c r="BC21" s="5"/>
      <c r="BD21" s="5"/>
      <c r="BE21" s="5"/>
      <c r="BF21" s="5"/>
      <c r="BG21" s="18"/>
      <c r="BI21" s="27" t="s">
        <v>86</v>
      </c>
      <c r="BJ21" t="s">
        <v>87</v>
      </c>
      <c r="BL21" s="28"/>
      <c r="BM21" s="2" t="s">
        <v>8</v>
      </c>
      <c r="BN21" s="2" t="s">
        <v>10</v>
      </c>
    </row>
    <row r="22" spans="3:68" ht="15" thickBot="1" x14ac:dyDescent="0.35">
      <c r="E22" s="2"/>
      <c r="F22" s="2">
        <v>5</v>
      </c>
      <c r="G22" s="18"/>
      <c r="P22" s="58" t="b">
        <f>$AG$14&lt;=$AG$15</f>
        <v>1</v>
      </c>
      <c r="X22" s="4" t="s">
        <v>1</v>
      </c>
      <c r="Y22" s="2">
        <v>3</v>
      </c>
      <c r="Z22" s="21">
        <v>0</v>
      </c>
      <c r="AA22" s="21">
        <v>400</v>
      </c>
      <c r="AB22" s="21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5"/>
      <c r="AI22" s="5"/>
      <c r="AJ22" s="5"/>
      <c r="AK22" s="5"/>
      <c r="AL22" s="5"/>
      <c r="AM22" s="5"/>
      <c r="AN22" s="5"/>
      <c r="AO22" s="18"/>
      <c r="AQ22" s="2">
        <v>3</v>
      </c>
      <c r="AR22" s="5">
        <f t="shared" si="12"/>
        <v>0</v>
      </c>
      <c r="AS22" s="5">
        <f>AA14</f>
        <v>400</v>
      </c>
      <c r="AT22" s="5">
        <f t="shared" ref="AT22:AY22" si="14">AB14</f>
        <v>400</v>
      </c>
      <c r="AU22" s="5">
        <f t="shared" si="14"/>
        <v>350</v>
      </c>
      <c r="AV22" s="5">
        <f t="shared" si="14"/>
        <v>700</v>
      </c>
      <c r="AW22" s="5">
        <f t="shared" si="14"/>
        <v>650</v>
      </c>
      <c r="AX22" s="5">
        <f t="shared" si="14"/>
        <v>750</v>
      </c>
      <c r="AY22" s="5">
        <f t="shared" si="14"/>
        <v>1000</v>
      </c>
      <c r="AZ22" s="5"/>
      <c r="BA22" s="5"/>
      <c r="BB22" s="5"/>
      <c r="BC22" s="5"/>
      <c r="BD22" s="5"/>
      <c r="BE22" s="5"/>
      <c r="BF22" s="5"/>
      <c r="BG22" s="18"/>
      <c r="BI22" s="27" t="s">
        <v>88</v>
      </c>
      <c r="BJ22" t="s">
        <v>89</v>
      </c>
      <c r="BL22" s="28"/>
    </row>
    <row r="23" spans="3:68" ht="15" thickBot="1" x14ac:dyDescent="0.35">
      <c r="G23" s="17">
        <f>SUM(G18:G22)</f>
        <v>0.99990000000000001</v>
      </c>
      <c r="P23" s="58" t="b">
        <f>$AG$14&lt;=$AG$17</f>
        <v>1</v>
      </c>
      <c r="X23" s="2" t="s">
        <v>2</v>
      </c>
      <c r="Y23" s="2">
        <v>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18"/>
      <c r="AQ23" s="2">
        <v>4</v>
      </c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18"/>
      <c r="BI23" s="29" t="s">
        <v>90</v>
      </c>
      <c r="BJ23" s="30" t="s">
        <v>91</v>
      </c>
      <c r="BK23" s="30"/>
      <c r="BL23" s="31"/>
      <c r="BM23" s="2" t="s">
        <v>8</v>
      </c>
      <c r="BN23" s="2" t="s">
        <v>10</v>
      </c>
    </row>
    <row r="24" spans="3:68" ht="15" thickBot="1" x14ac:dyDescent="0.35">
      <c r="P24" s="58" t="b">
        <f>$AG$14&lt;=$AG$18</f>
        <v>1</v>
      </c>
      <c r="Y24" s="2">
        <v>5</v>
      </c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8"/>
      <c r="AQ24" s="2">
        <v>5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18"/>
    </row>
    <row r="25" spans="3:68" x14ac:dyDescent="0.3">
      <c r="E25" t="s">
        <v>42</v>
      </c>
      <c r="P25" s="58" t="b">
        <f t="array" ref="P25">CSifBuy&gt;=0</f>
        <v>1</v>
      </c>
      <c r="AF25" s="1" t="s">
        <v>3</v>
      </c>
      <c r="AG25" s="8" t="s">
        <v>4</v>
      </c>
      <c r="AH25" t="s">
        <v>5</v>
      </c>
    </row>
    <row r="26" spans="3:68" x14ac:dyDescent="0.3">
      <c r="E26">
        <f>Max_Utility-Min_Cost</f>
        <v>1000</v>
      </c>
      <c r="P26" s="58" t="b">
        <f t="array" ref="P26">Pi&lt;=SubAddPrice</f>
        <v>1</v>
      </c>
      <c r="AG26" s="9" t="s">
        <v>7</v>
      </c>
      <c r="AQ26" s="9" t="s">
        <v>39</v>
      </c>
    </row>
    <row r="27" spans="3:68" ht="15" thickBot="1" x14ac:dyDescent="0.35">
      <c r="P27" s="58" t="b">
        <f t="array" ref="P27">Pki&lt;=RepeatedPi</f>
        <v>1</v>
      </c>
      <c r="AQ27" s="3">
        <f>SUM(Z37:AO37)</f>
        <v>466.64499999999998</v>
      </c>
    </row>
    <row r="28" spans="3:68" ht="15" thickTop="1" x14ac:dyDescent="0.3">
      <c r="E28" s="32" t="s">
        <v>8</v>
      </c>
      <c r="F28" s="33">
        <v>4</v>
      </c>
      <c r="G28" s="34" t="s">
        <v>11</v>
      </c>
      <c r="H28" s="35"/>
      <c r="P28" s="58" t="b">
        <f t="array" ref="P28">Pki&gt;=RepeatPi_MaxU1_Tki</f>
        <v>1</v>
      </c>
      <c r="X28" s="13" t="s">
        <v>22</v>
      </c>
      <c r="AQ28" s="9" t="s">
        <v>41</v>
      </c>
    </row>
    <row r="29" spans="3:68" ht="16.2" thickBot="1" x14ac:dyDescent="0.4">
      <c r="E29" s="36" t="s">
        <v>9</v>
      </c>
      <c r="F29" s="37">
        <v>3</v>
      </c>
      <c r="G29" s="38" t="s">
        <v>12</v>
      </c>
      <c r="H29" s="39" t="s">
        <v>94</v>
      </c>
      <c r="P29" s="58" t="b">
        <f t="array" ref="P29">RepeatedSk&gt;=U_net_P</f>
        <v>1</v>
      </c>
      <c r="Y29" s="3" t="s">
        <v>23</v>
      </c>
      <c r="Z29" s="2">
        <v>0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Q29" s="20" t="s">
        <v>47</v>
      </c>
      <c r="AR29" s="2">
        <v>0</v>
      </c>
      <c r="AS29" s="2">
        <v>1</v>
      </c>
      <c r="AT29" s="2">
        <v>2</v>
      </c>
      <c r="AU29" s="2">
        <v>3</v>
      </c>
      <c r="AV29" s="2">
        <v>4</v>
      </c>
      <c r="AW29" s="2">
        <v>5</v>
      </c>
      <c r="AX29" s="2">
        <v>6</v>
      </c>
      <c r="AY29" s="2">
        <v>7</v>
      </c>
      <c r="AZ29" s="2">
        <v>8</v>
      </c>
      <c r="BA29" s="2">
        <v>9</v>
      </c>
      <c r="BB29" s="2">
        <v>10</v>
      </c>
      <c r="BC29" s="2">
        <v>11</v>
      </c>
      <c r="BD29" s="2">
        <v>12</v>
      </c>
      <c r="BE29" s="2">
        <v>13</v>
      </c>
      <c r="BF29" s="2">
        <v>14</v>
      </c>
      <c r="BG29" s="2">
        <v>15</v>
      </c>
    </row>
    <row r="30" spans="3:68" ht="16.8" thickBot="1" x14ac:dyDescent="0.35">
      <c r="E30" s="40" t="s">
        <v>10</v>
      </c>
      <c r="F30" s="41">
        <f>2^n-1</f>
        <v>7</v>
      </c>
      <c r="G30" s="42" t="s">
        <v>13</v>
      </c>
      <c r="H30" s="43" t="s">
        <v>95</v>
      </c>
      <c r="P30" s="58" t="b">
        <f t="array" ref="P30">Sk=SumSk</f>
        <v>1</v>
      </c>
      <c r="X30" s="3" t="s">
        <v>6</v>
      </c>
      <c r="Y30" s="2">
        <v>1</v>
      </c>
      <c r="Z30" s="21">
        <f>Z20-G$14*Z6</f>
        <v>0</v>
      </c>
      <c r="AA30" s="21">
        <f t="shared" ref="AA30:AG32" si="15">AA20-H$14*AA6</f>
        <v>0</v>
      </c>
      <c r="AB30" s="21">
        <f t="shared" si="15"/>
        <v>0</v>
      </c>
      <c r="AC30" s="21">
        <f t="shared" si="15"/>
        <v>0</v>
      </c>
      <c r="AD30" s="21">
        <f t="shared" si="15"/>
        <v>0</v>
      </c>
      <c r="AE30" s="21">
        <f t="shared" si="15"/>
        <v>0</v>
      </c>
      <c r="AF30" s="21">
        <f t="shared" si="15"/>
        <v>0</v>
      </c>
      <c r="AG30" s="21">
        <f t="shared" si="15"/>
        <v>700</v>
      </c>
      <c r="AH30" s="5"/>
      <c r="AI30" s="5"/>
      <c r="AJ30" s="5"/>
      <c r="AK30" s="5"/>
      <c r="AL30" s="5"/>
      <c r="AM30" s="5"/>
      <c r="AN30" s="5"/>
      <c r="AO30" s="18"/>
      <c r="AQ30" s="2">
        <v>1</v>
      </c>
      <c r="AR30" s="5">
        <f t="shared" ref="AR30:AY30" si="16">Z14-Max_Utility*(1-Z6)</f>
        <v>-1100</v>
      </c>
      <c r="AS30" s="5">
        <f t="shared" si="16"/>
        <v>-700</v>
      </c>
      <c r="AT30" s="5">
        <f t="shared" si="16"/>
        <v>-700</v>
      </c>
      <c r="AU30" s="5">
        <f t="shared" si="16"/>
        <v>-750</v>
      </c>
      <c r="AV30" s="5">
        <f t="shared" si="16"/>
        <v>-400</v>
      </c>
      <c r="AW30" s="5">
        <f t="shared" si="16"/>
        <v>-450</v>
      </c>
      <c r="AX30" s="5">
        <f t="shared" si="16"/>
        <v>-350</v>
      </c>
      <c r="AY30" s="5">
        <f t="shared" si="16"/>
        <v>1000</v>
      </c>
      <c r="AZ30" s="5"/>
      <c r="BA30" s="5"/>
      <c r="BB30" s="5"/>
      <c r="BC30" s="5"/>
      <c r="BD30" s="5"/>
      <c r="BE30" s="5"/>
      <c r="BF30" s="5"/>
      <c r="BG30" s="18"/>
    </row>
    <row r="31" spans="3:68" ht="15.6" thickTop="1" thickBot="1" x14ac:dyDescent="0.35">
      <c r="C31" s="9"/>
      <c r="D31" s="9"/>
      <c r="E31" s="9"/>
      <c r="F31" s="9"/>
      <c r="G31" s="9"/>
      <c r="H31" s="9"/>
      <c r="I31" s="9"/>
      <c r="P31" s="58">
        <f>{360,5000,0.000001,0.01,TRUE,FALSE,TRUE,1,1,1,0.0001,TRUE}</f>
        <v>360</v>
      </c>
      <c r="X31" s="2" t="s">
        <v>0</v>
      </c>
      <c r="Y31" s="2">
        <v>2</v>
      </c>
      <c r="Z31" s="21">
        <f t="shared" ref="Z31:Z32" si="17">Z21-G$14*Z7</f>
        <v>0</v>
      </c>
      <c r="AA31" s="21">
        <f t="shared" si="15"/>
        <v>0</v>
      </c>
      <c r="AB31" s="21">
        <f t="shared" si="15"/>
        <v>0</v>
      </c>
      <c r="AC31" s="21">
        <f t="shared" si="15"/>
        <v>200</v>
      </c>
      <c r="AD31" s="21">
        <f t="shared" si="15"/>
        <v>0</v>
      </c>
      <c r="AE31" s="21">
        <f t="shared" si="15"/>
        <v>0</v>
      </c>
      <c r="AF31" s="21">
        <f t="shared" si="15"/>
        <v>0</v>
      </c>
      <c r="AG31" s="21">
        <f t="shared" si="15"/>
        <v>0</v>
      </c>
      <c r="AH31" s="5"/>
      <c r="AI31" s="5"/>
      <c r="AJ31" s="5"/>
      <c r="AK31" s="5"/>
      <c r="AL31" s="5"/>
      <c r="AM31" s="5"/>
      <c r="AN31" s="5"/>
      <c r="AO31" s="18"/>
      <c r="AQ31" s="2">
        <v>2</v>
      </c>
      <c r="AR31" s="5">
        <f>Z15-Max_Utility*(1-Z7)</f>
        <v>-1100</v>
      </c>
      <c r="AS31" s="5">
        <f t="shared" ref="AS31:AY31" si="18">AA14-Max_Utility*(1-AA7)</f>
        <v>-700</v>
      </c>
      <c r="AT31" s="5">
        <f t="shared" si="18"/>
        <v>-700</v>
      </c>
      <c r="AU31" s="5">
        <f t="shared" si="18"/>
        <v>350</v>
      </c>
      <c r="AV31" s="5">
        <f t="shared" si="18"/>
        <v>-400</v>
      </c>
      <c r="AW31" s="5">
        <f t="shared" si="18"/>
        <v>-450</v>
      </c>
      <c r="AX31" s="5">
        <f t="shared" si="18"/>
        <v>-350</v>
      </c>
      <c r="AY31" s="5">
        <f t="shared" si="18"/>
        <v>-100</v>
      </c>
      <c r="AZ31" s="5"/>
      <c r="BA31" s="5"/>
      <c r="BB31" s="5"/>
      <c r="BC31" s="5"/>
      <c r="BD31" s="5"/>
      <c r="BE31" s="5"/>
      <c r="BF31" s="5"/>
      <c r="BG31" s="18"/>
    </row>
    <row r="32" spans="3:68" ht="15" thickBot="1" x14ac:dyDescent="0.35">
      <c r="P32" s="59">
        <f>{360,5000,2,100,19,FALSE,FALSE,0.075,50000,50000,FALSE,60}</f>
        <v>360</v>
      </c>
      <c r="X32" s="4" t="s">
        <v>1</v>
      </c>
      <c r="Y32" s="2">
        <v>3</v>
      </c>
      <c r="Z32" s="21">
        <f t="shared" si="17"/>
        <v>0</v>
      </c>
      <c r="AA32" s="21">
        <f t="shared" si="15"/>
        <v>250</v>
      </c>
      <c r="AB32" s="21">
        <f t="shared" si="15"/>
        <v>0</v>
      </c>
      <c r="AC32" s="21">
        <f t="shared" si="15"/>
        <v>0</v>
      </c>
      <c r="AD32" s="21">
        <f t="shared" si="15"/>
        <v>0</v>
      </c>
      <c r="AE32" s="21">
        <f t="shared" si="15"/>
        <v>0</v>
      </c>
      <c r="AF32" s="21">
        <f t="shared" si="15"/>
        <v>0</v>
      </c>
      <c r="AG32" s="21">
        <f t="shared" si="15"/>
        <v>0</v>
      </c>
      <c r="AH32" s="5"/>
      <c r="AI32" s="5"/>
      <c r="AJ32" s="5"/>
      <c r="AK32" s="5"/>
      <c r="AL32" s="5"/>
      <c r="AM32" s="5"/>
      <c r="AN32" s="5"/>
      <c r="AO32" s="18"/>
      <c r="AQ32" s="2">
        <v>3</v>
      </c>
      <c r="AR32" s="5">
        <f>Z16-Max_Utility*(1-Z8)</f>
        <v>-1100</v>
      </c>
      <c r="AS32" s="5">
        <f t="shared" ref="AS32:AY32" si="19">AA14-Max_Utility*(1-AA8)</f>
        <v>400</v>
      </c>
      <c r="AT32" s="5">
        <f t="shared" si="19"/>
        <v>-700</v>
      </c>
      <c r="AU32" s="5">
        <f t="shared" si="19"/>
        <v>-750</v>
      </c>
      <c r="AV32" s="5">
        <f t="shared" si="19"/>
        <v>-400</v>
      </c>
      <c r="AW32" s="5">
        <f t="shared" si="19"/>
        <v>-450</v>
      </c>
      <c r="AX32" s="5">
        <f t="shared" si="19"/>
        <v>-350</v>
      </c>
      <c r="AY32" s="5">
        <f t="shared" si="19"/>
        <v>-100</v>
      </c>
      <c r="AZ32" s="5"/>
      <c r="BA32" s="5"/>
      <c r="BB32" s="5"/>
      <c r="BC32" s="5"/>
      <c r="BD32" s="5"/>
      <c r="BE32" s="5"/>
      <c r="BF32" s="5"/>
      <c r="BG32" s="18"/>
    </row>
    <row r="33" spans="24:59" ht="15" thickBot="1" x14ac:dyDescent="0.35">
      <c r="X33" s="2" t="s">
        <v>2</v>
      </c>
      <c r="Y33" s="2">
        <v>4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18"/>
      <c r="AQ33" s="2">
        <v>4</v>
      </c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18"/>
    </row>
    <row r="34" spans="24:59" ht="15" thickBot="1" x14ac:dyDescent="0.35">
      <c r="Y34" s="2">
        <v>5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18"/>
      <c r="AQ34" s="2">
        <v>5</v>
      </c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18"/>
    </row>
    <row r="35" spans="24:59" x14ac:dyDescent="0.3">
      <c r="AF35" s="1" t="s">
        <v>3</v>
      </c>
      <c r="AG35" s="8" t="s">
        <v>4</v>
      </c>
      <c r="AH35" t="s">
        <v>5</v>
      </c>
    </row>
    <row r="36" spans="24:59" x14ac:dyDescent="0.3">
      <c r="AG36" s="9" t="s">
        <v>7</v>
      </c>
    </row>
    <row r="37" spans="24:59" x14ac:dyDescent="0.3">
      <c r="X37" s="3" t="s">
        <v>40</v>
      </c>
      <c r="Z37">
        <f>SUMPRODUCT(Z30:Z34,$G18:$G22)</f>
        <v>0</v>
      </c>
      <c r="AA37">
        <f t="shared" ref="AA37:AO37" si="20">SUMPRODUCT(AA30:AA34,$G18:$G22)</f>
        <v>83.325000000000003</v>
      </c>
      <c r="AB37">
        <f t="shared" si="20"/>
        <v>0</v>
      </c>
      <c r="AC37">
        <f t="shared" si="20"/>
        <v>33.32</v>
      </c>
      <c r="AD37">
        <f t="shared" si="20"/>
        <v>0</v>
      </c>
      <c r="AE37">
        <f t="shared" si="20"/>
        <v>0</v>
      </c>
      <c r="AF37">
        <f t="shared" si="20"/>
        <v>0</v>
      </c>
      <c r="AG37">
        <f t="shared" si="20"/>
        <v>350</v>
      </c>
      <c r="AH37">
        <f t="shared" si="20"/>
        <v>0</v>
      </c>
      <c r="AI37">
        <f t="shared" si="20"/>
        <v>0</v>
      </c>
      <c r="AJ37">
        <f t="shared" si="20"/>
        <v>0</v>
      </c>
      <c r="AK37">
        <f t="shared" si="20"/>
        <v>0</v>
      </c>
      <c r="AL37">
        <f t="shared" si="20"/>
        <v>0</v>
      </c>
      <c r="AM37">
        <f t="shared" si="20"/>
        <v>0</v>
      </c>
      <c r="AN37">
        <f t="shared" si="20"/>
        <v>0</v>
      </c>
      <c r="AO37">
        <f t="shared" si="20"/>
        <v>0</v>
      </c>
    </row>
    <row r="39" spans="24:59" x14ac:dyDescent="0.3">
      <c r="X39" s="13" t="s">
        <v>25</v>
      </c>
      <c r="AQ39" s="9" t="s">
        <v>28</v>
      </c>
      <c r="AT39" s="9" t="s">
        <v>30</v>
      </c>
    </row>
    <row r="40" spans="24:59" ht="16.2" thickBot="1" x14ac:dyDescent="0.4">
      <c r="Y40" s="3" t="s">
        <v>24</v>
      </c>
      <c r="Z40" s="2">
        <v>0</v>
      </c>
      <c r="AA40" s="2">
        <v>1</v>
      </c>
      <c r="AB40" s="2">
        <v>2</v>
      </c>
      <c r="AC40" s="2">
        <v>3</v>
      </c>
      <c r="AD40" s="2">
        <v>4</v>
      </c>
      <c r="AE40" s="2">
        <v>5</v>
      </c>
      <c r="AF40" s="2">
        <v>6</v>
      </c>
      <c r="AG40" s="2">
        <v>7</v>
      </c>
      <c r="AH40" s="2">
        <v>8</v>
      </c>
      <c r="AI40" s="2">
        <v>9</v>
      </c>
      <c r="AJ40" s="2">
        <v>10</v>
      </c>
      <c r="AK40" s="2">
        <v>11</v>
      </c>
      <c r="AL40" s="2">
        <v>12</v>
      </c>
      <c r="AM40" s="2">
        <v>13</v>
      </c>
      <c r="AN40" s="2">
        <v>14</v>
      </c>
      <c r="AO40" s="2">
        <v>15</v>
      </c>
      <c r="AP40" s="2" t="s">
        <v>0</v>
      </c>
      <c r="AQ40" s="3" t="s">
        <v>29</v>
      </c>
      <c r="AT40" s="3" t="s">
        <v>26</v>
      </c>
    </row>
    <row r="41" spans="24:59" ht="15" thickBot="1" x14ac:dyDescent="0.35">
      <c r="X41" s="3" t="s">
        <v>6</v>
      </c>
      <c r="Y41" s="2">
        <v>1</v>
      </c>
      <c r="Z41" s="21">
        <f t="shared" ref="Z41:AG43" si="21">G6*Z6-Z20</f>
        <v>0</v>
      </c>
      <c r="AA41" s="21">
        <f t="shared" si="21"/>
        <v>0</v>
      </c>
      <c r="AB41" s="21">
        <f t="shared" si="21"/>
        <v>0</v>
      </c>
      <c r="AC41" s="21">
        <f t="shared" si="21"/>
        <v>0</v>
      </c>
      <c r="AD41" s="21">
        <f t="shared" si="21"/>
        <v>0</v>
      </c>
      <c r="AE41" s="21">
        <f t="shared" si="21"/>
        <v>0</v>
      </c>
      <c r="AF41" s="21">
        <f t="shared" si="21"/>
        <v>0</v>
      </c>
      <c r="AG41" s="21">
        <f t="shared" si="21"/>
        <v>100</v>
      </c>
      <c r="AH41" s="5"/>
      <c r="AI41" s="5"/>
      <c r="AJ41" s="5"/>
      <c r="AK41" s="5"/>
      <c r="AL41" s="5"/>
      <c r="AM41" s="5"/>
      <c r="AN41" s="5"/>
      <c r="AO41" s="18"/>
      <c r="AP41" s="2">
        <f>Y41</f>
        <v>1</v>
      </c>
      <c r="AQ41" s="22">
        <f>SUM(Z41:AG41)</f>
        <v>100</v>
      </c>
      <c r="AT41" s="14">
        <v>100</v>
      </c>
    </row>
    <row r="42" spans="24:59" ht="15" thickBot="1" x14ac:dyDescent="0.35">
      <c r="X42" s="2" t="s">
        <v>0</v>
      </c>
      <c r="Y42" s="2">
        <v>2</v>
      </c>
      <c r="Z42" s="21">
        <f t="shared" si="21"/>
        <v>0</v>
      </c>
      <c r="AA42" s="21">
        <f t="shared" si="21"/>
        <v>0</v>
      </c>
      <c r="AB42" s="21">
        <f t="shared" si="21"/>
        <v>0</v>
      </c>
      <c r="AC42" s="21">
        <f t="shared" si="21"/>
        <v>0</v>
      </c>
      <c r="AD42" s="21">
        <f t="shared" si="21"/>
        <v>0</v>
      </c>
      <c r="AE42" s="21">
        <f t="shared" si="21"/>
        <v>0</v>
      </c>
      <c r="AF42" s="21">
        <f t="shared" si="21"/>
        <v>0</v>
      </c>
      <c r="AG42" s="21">
        <f t="shared" si="21"/>
        <v>0</v>
      </c>
      <c r="AH42" s="5"/>
      <c r="AI42" s="5"/>
      <c r="AJ42" s="5"/>
      <c r="AK42" s="5"/>
      <c r="AL42" s="5"/>
      <c r="AM42" s="5"/>
      <c r="AN42" s="5"/>
      <c r="AO42" s="18"/>
      <c r="AP42" s="2">
        <f t="shared" ref="AP42:AP45" si="22">Y42</f>
        <v>2</v>
      </c>
      <c r="AQ42" s="22">
        <f t="shared" ref="AQ42:AQ43" si="23">SUM(Z42:AG42)</f>
        <v>0</v>
      </c>
      <c r="AT42" s="15">
        <v>0</v>
      </c>
    </row>
    <row r="43" spans="24:59" ht="15" thickBot="1" x14ac:dyDescent="0.35">
      <c r="X43" s="4" t="s">
        <v>1</v>
      </c>
      <c r="Y43" s="2">
        <v>3</v>
      </c>
      <c r="Z43" s="21">
        <f t="shared" si="21"/>
        <v>0</v>
      </c>
      <c r="AA43" s="21">
        <f t="shared" si="21"/>
        <v>0</v>
      </c>
      <c r="AB43" s="21">
        <f t="shared" si="21"/>
        <v>0</v>
      </c>
      <c r="AC43" s="21">
        <f t="shared" si="21"/>
        <v>0</v>
      </c>
      <c r="AD43" s="21">
        <f t="shared" si="21"/>
        <v>0</v>
      </c>
      <c r="AE43" s="21">
        <f t="shared" si="21"/>
        <v>0</v>
      </c>
      <c r="AF43" s="21">
        <f t="shared" si="21"/>
        <v>0</v>
      </c>
      <c r="AG43" s="21">
        <f t="shared" si="21"/>
        <v>0</v>
      </c>
      <c r="AH43" s="5"/>
      <c r="AI43" s="5"/>
      <c r="AJ43" s="5"/>
      <c r="AK43" s="5"/>
      <c r="AL43" s="5"/>
      <c r="AM43" s="5"/>
      <c r="AN43" s="5"/>
      <c r="AO43" s="18"/>
      <c r="AP43" s="2">
        <f t="shared" si="22"/>
        <v>3</v>
      </c>
      <c r="AQ43" s="22">
        <f t="shared" si="23"/>
        <v>0</v>
      </c>
      <c r="AT43" s="15">
        <v>0</v>
      </c>
    </row>
    <row r="44" spans="24:59" ht="15" thickBot="1" x14ac:dyDescent="0.35">
      <c r="X44" s="2" t="s">
        <v>2</v>
      </c>
      <c r="Y44" s="2">
        <v>4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18"/>
      <c r="AP44" s="2">
        <f t="shared" si="22"/>
        <v>4</v>
      </c>
      <c r="AQ44" s="15"/>
      <c r="AT44" s="15"/>
    </row>
    <row r="45" spans="24:59" ht="15" thickBot="1" x14ac:dyDescent="0.35">
      <c r="Y45" s="2">
        <v>5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18"/>
      <c r="AP45" s="2">
        <f t="shared" si="22"/>
        <v>5</v>
      </c>
      <c r="AQ45" s="16"/>
      <c r="AT45" s="16"/>
    </row>
    <row r="46" spans="24:59" x14ac:dyDescent="0.3">
      <c r="AF46" s="1" t="s">
        <v>3</v>
      </c>
      <c r="AG46" s="8" t="s">
        <v>4</v>
      </c>
      <c r="AH46" t="s">
        <v>5</v>
      </c>
    </row>
    <row r="47" spans="24:59" x14ac:dyDescent="0.3">
      <c r="AG47" s="9" t="s">
        <v>7</v>
      </c>
    </row>
    <row r="49" spans="24:59" x14ac:dyDescent="0.3">
      <c r="X49" s="13" t="s">
        <v>37</v>
      </c>
      <c r="AQ49" s="9" t="s">
        <v>41</v>
      </c>
    </row>
    <row r="50" spans="24:59" ht="16.2" thickBot="1" x14ac:dyDescent="0.4">
      <c r="Y50" s="3" t="s">
        <v>38</v>
      </c>
      <c r="Z50" s="2">
        <v>0</v>
      </c>
      <c r="AA50" s="2">
        <v>1</v>
      </c>
      <c r="AB50" s="2">
        <v>2</v>
      </c>
      <c r="AC50" s="2">
        <v>3</v>
      </c>
      <c r="AD50" s="2">
        <v>4</v>
      </c>
      <c r="AE50" s="2">
        <v>5</v>
      </c>
      <c r="AF50" s="2">
        <v>6</v>
      </c>
      <c r="AG50" s="2">
        <v>7</v>
      </c>
      <c r="AH50" s="2">
        <v>8</v>
      </c>
      <c r="AI50" s="2">
        <v>9</v>
      </c>
      <c r="AJ50" s="2">
        <v>10</v>
      </c>
      <c r="AK50" s="2">
        <v>11</v>
      </c>
      <c r="AL50" s="2">
        <v>12</v>
      </c>
      <c r="AM50" s="2">
        <v>13</v>
      </c>
      <c r="AN50" s="2">
        <v>14</v>
      </c>
      <c r="AO50" s="2">
        <v>15</v>
      </c>
      <c r="AP50" s="9" t="s">
        <v>43</v>
      </c>
      <c r="AQ50" s="3" t="s">
        <v>44</v>
      </c>
      <c r="AR50" s="2">
        <v>0</v>
      </c>
      <c r="AS50" s="2">
        <v>1</v>
      </c>
      <c r="AT50" s="2">
        <v>2</v>
      </c>
      <c r="AU50" s="2">
        <v>3</v>
      </c>
      <c r="AV50" s="2">
        <v>4</v>
      </c>
      <c r="AW50" s="2">
        <v>5</v>
      </c>
      <c r="AX50" s="2">
        <v>6</v>
      </c>
      <c r="AY50" s="2">
        <v>7</v>
      </c>
      <c r="AZ50" s="2">
        <v>8</v>
      </c>
      <c r="BA50" s="2">
        <v>9</v>
      </c>
      <c r="BB50" s="2">
        <v>10</v>
      </c>
      <c r="BC50" s="2">
        <v>11</v>
      </c>
      <c r="BD50" s="2">
        <v>12</v>
      </c>
      <c r="BE50" s="2">
        <v>13</v>
      </c>
      <c r="BF50" s="2">
        <v>14</v>
      </c>
      <c r="BG50" s="2">
        <v>15</v>
      </c>
    </row>
    <row r="51" spans="24:59" ht="15" thickBot="1" x14ac:dyDescent="0.35">
      <c r="X51" s="3" t="s">
        <v>6</v>
      </c>
      <c r="Y51" s="2">
        <v>1</v>
      </c>
      <c r="Z51" s="5">
        <f>G6-Z14</f>
        <v>0</v>
      </c>
      <c r="AA51" s="5">
        <f t="shared" ref="AA51" si="24">H6-AA14</f>
        <v>50</v>
      </c>
      <c r="AB51" s="5">
        <f t="shared" ref="AB51" si="25">I6-AB14</f>
        <v>100</v>
      </c>
      <c r="AC51" s="5">
        <f t="shared" ref="AC51" si="26">J6-AC14</f>
        <v>100</v>
      </c>
      <c r="AD51" s="5">
        <f t="shared" ref="AD51" si="27">K6-AD14</f>
        <v>100</v>
      </c>
      <c r="AE51" s="5">
        <f t="shared" ref="AE51" si="28">L6-AE14</f>
        <v>100</v>
      </c>
      <c r="AF51" s="5">
        <f t="shared" ref="AF51" si="29">M6-AF14</f>
        <v>50</v>
      </c>
      <c r="AG51" s="5">
        <f t="shared" ref="AG51" si="30">N6-AG14</f>
        <v>100</v>
      </c>
      <c r="AH51" s="5"/>
      <c r="AI51" s="5"/>
      <c r="AJ51" s="5"/>
      <c r="AK51" s="5"/>
      <c r="AL51" s="5"/>
      <c r="AM51" s="5"/>
      <c r="AN51" s="5"/>
      <c r="AO51" s="18"/>
      <c r="AP51">
        <f>MAX(AA51:AG51)</f>
        <v>100</v>
      </c>
      <c r="AQ51" s="2">
        <v>1</v>
      </c>
      <c r="AR51" s="5">
        <f>$AT41</f>
        <v>100</v>
      </c>
      <c r="AS51" s="5">
        <f t="shared" ref="AS51:AY51" si="31">$AT41</f>
        <v>100</v>
      </c>
      <c r="AT51" s="5">
        <f t="shared" si="31"/>
        <v>100</v>
      </c>
      <c r="AU51" s="5">
        <f t="shared" si="31"/>
        <v>100</v>
      </c>
      <c r="AV51" s="5">
        <f t="shared" si="31"/>
        <v>100</v>
      </c>
      <c r="AW51" s="5">
        <f t="shared" si="31"/>
        <v>100</v>
      </c>
      <c r="AX51" s="5">
        <f t="shared" si="31"/>
        <v>100</v>
      </c>
      <c r="AY51" s="5">
        <f t="shared" si="31"/>
        <v>100</v>
      </c>
      <c r="AZ51" s="5"/>
      <c r="BA51" s="5"/>
      <c r="BB51" s="5"/>
      <c r="BC51" s="5"/>
      <c r="BD51" s="5"/>
      <c r="BE51" s="5"/>
      <c r="BF51" s="5"/>
      <c r="BG51" s="18"/>
    </row>
    <row r="52" spans="24:59" ht="15" thickBot="1" x14ac:dyDescent="0.35">
      <c r="X52" s="2" t="s">
        <v>0</v>
      </c>
      <c r="Y52" s="2">
        <v>2</v>
      </c>
      <c r="Z52" s="5">
        <f t="shared" ref="Z52:Z53" si="32">G7-Z15</f>
        <v>0</v>
      </c>
      <c r="AA52" s="5">
        <f>H7-AA14</f>
        <v>-50</v>
      </c>
      <c r="AB52" s="5">
        <f t="shared" ref="AB52:AG52" si="33">I7-AB14</f>
        <v>-150</v>
      </c>
      <c r="AC52" s="5">
        <f t="shared" si="33"/>
        <v>0</v>
      </c>
      <c r="AD52" s="5">
        <f t="shared" si="33"/>
        <v>-200</v>
      </c>
      <c r="AE52" s="5">
        <f t="shared" si="33"/>
        <v>-50</v>
      </c>
      <c r="AF52" s="5">
        <f t="shared" si="33"/>
        <v>-250</v>
      </c>
      <c r="AG52" s="5">
        <f t="shared" si="33"/>
        <v>-250</v>
      </c>
      <c r="AH52" s="5"/>
      <c r="AI52" s="5"/>
      <c r="AJ52" s="5"/>
      <c r="AK52" s="5"/>
      <c r="AL52" s="5"/>
      <c r="AM52" s="5"/>
      <c r="AN52" s="5"/>
      <c r="AO52" s="18"/>
      <c r="AP52">
        <f t="shared" ref="AP52:AP53" si="34">MAX(AA52:AG52)</f>
        <v>0</v>
      </c>
      <c r="AQ52" s="2">
        <v>2</v>
      </c>
      <c r="AR52" s="5">
        <f>$AT42</f>
        <v>0</v>
      </c>
      <c r="AS52" s="5">
        <f t="shared" ref="AS52:AY52" si="35">$AT42</f>
        <v>0</v>
      </c>
      <c r="AT52" s="5">
        <f t="shared" si="35"/>
        <v>0</v>
      </c>
      <c r="AU52" s="5">
        <f t="shared" si="35"/>
        <v>0</v>
      </c>
      <c r="AV52" s="5">
        <f t="shared" si="35"/>
        <v>0</v>
      </c>
      <c r="AW52" s="5">
        <f t="shared" si="35"/>
        <v>0</v>
      </c>
      <c r="AX52" s="5">
        <f t="shared" si="35"/>
        <v>0</v>
      </c>
      <c r="AY52" s="5">
        <f t="shared" si="35"/>
        <v>0</v>
      </c>
      <c r="AZ52" s="5"/>
      <c r="BA52" s="5"/>
      <c r="BB52" s="5"/>
      <c r="BC52" s="5"/>
      <c r="BD52" s="5"/>
      <c r="BE52" s="5"/>
      <c r="BF52" s="5"/>
      <c r="BG52" s="18"/>
    </row>
    <row r="53" spans="24:59" ht="15" thickBot="1" x14ac:dyDescent="0.35">
      <c r="X53" s="4" t="s">
        <v>1</v>
      </c>
      <c r="Y53" s="2">
        <v>3</v>
      </c>
      <c r="Z53" s="5">
        <f t="shared" si="32"/>
        <v>0</v>
      </c>
      <c r="AA53" s="5">
        <f>H8-AA14</f>
        <v>0</v>
      </c>
      <c r="AB53" s="5">
        <f t="shared" ref="AB53:AG53" si="36">I8-AB14</f>
        <v>-250</v>
      </c>
      <c r="AC53" s="5">
        <f t="shared" si="36"/>
        <v>-250</v>
      </c>
      <c r="AD53" s="5">
        <f t="shared" si="36"/>
        <v>-200</v>
      </c>
      <c r="AE53" s="5">
        <f t="shared" si="36"/>
        <v>-200</v>
      </c>
      <c r="AF53" s="5">
        <f t="shared" si="36"/>
        <v>-550</v>
      </c>
      <c r="AG53" s="5">
        <f t="shared" si="36"/>
        <v>-450</v>
      </c>
      <c r="AH53" s="5"/>
      <c r="AI53" s="5"/>
      <c r="AJ53" s="5"/>
      <c r="AK53" s="5"/>
      <c r="AL53" s="5"/>
      <c r="AM53" s="5"/>
      <c r="AN53" s="5"/>
      <c r="AO53" s="18"/>
      <c r="AP53">
        <f t="shared" si="34"/>
        <v>0</v>
      </c>
      <c r="AQ53" s="2">
        <v>3</v>
      </c>
      <c r="AR53" s="5">
        <f>$AT43</f>
        <v>0</v>
      </c>
      <c r="AS53" s="5">
        <f t="shared" ref="AS53:AY53" si="37">$AT43</f>
        <v>0</v>
      </c>
      <c r="AT53" s="5">
        <f t="shared" si="37"/>
        <v>0</v>
      </c>
      <c r="AU53" s="5">
        <f t="shared" si="37"/>
        <v>0</v>
      </c>
      <c r="AV53" s="5">
        <f t="shared" si="37"/>
        <v>0</v>
      </c>
      <c r="AW53" s="5">
        <f t="shared" si="37"/>
        <v>0</v>
      </c>
      <c r="AX53" s="5">
        <f t="shared" si="37"/>
        <v>0</v>
      </c>
      <c r="AY53" s="5">
        <f t="shared" si="37"/>
        <v>0</v>
      </c>
      <c r="AZ53" s="5"/>
      <c r="BA53" s="5"/>
      <c r="BB53" s="5"/>
      <c r="BC53" s="5"/>
      <c r="BD53" s="5"/>
      <c r="BE53" s="5"/>
      <c r="BF53" s="5"/>
      <c r="BG53" s="18"/>
    </row>
    <row r="54" spans="24:59" ht="15" thickBot="1" x14ac:dyDescent="0.35">
      <c r="X54" s="2" t="s">
        <v>2</v>
      </c>
      <c r="Y54" s="2">
        <v>4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18"/>
      <c r="AQ54" s="2">
        <v>4</v>
      </c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18"/>
    </row>
    <row r="55" spans="24:59" ht="15" thickBot="1" x14ac:dyDescent="0.35">
      <c r="Y55" s="2">
        <v>5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18"/>
      <c r="AQ55" s="2">
        <v>5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18"/>
    </row>
    <row r="56" spans="24:59" x14ac:dyDescent="0.3">
      <c r="AF56" s="1" t="s">
        <v>3</v>
      </c>
      <c r="AG56" s="8" t="s">
        <v>4</v>
      </c>
      <c r="AH56" t="s">
        <v>5</v>
      </c>
    </row>
    <row r="57" spans="24:59" x14ac:dyDescent="0.3">
      <c r="AG57" s="9" t="s">
        <v>7</v>
      </c>
    </row>
    <row r="59" spans="24:59" ht="16.2" thickBot="1" x14ac:dyDescent="0.4">
      <c r="AM59" t="s">
        <v>50</v>
      </c>
      <c r="AQ59" s="3" t="s">
        <v>45</v>
      </c>
      <c r="AR59" s="2">
        <v>0</v>
      </c>
      <c r="AS59" s="2">
        <v>1</v>
      </c>
      <c r="AT59" s="2">
        <v>2</v>
      </c>
      <c r="AU59" s="2">
        <v>3</v>
      </c>
      <c r="AV59" s="2">
        <v>4</v>
      </c>
      <c r="AW59" s="2">
        <v>5</v>
      </c>
      <c r="AX59" s="2">
        <v>6</v>
      </c>
      <c r="AY59" s="2">
        <v>7</v>
      </c>
      <c r="AZ59" s="2">
        <v>8</v>
      </c>
      <c r="BA59" s="2">
        <v>9</v>
      </c>
      <c r="BB59" s="2">
        <v>10</v>
      </c>
      <c r="BC59" s="2">
        <v>11</v>
      </c>
      <c r="BD59" s="2">
        <v>12</v>
      </c>
      <c r="BE59" s="2">
        <v>13</v>
      </c>
      <c r="BF59" s="2">
        <v>14</v>
      </c>
      <c r="BG59" s="2">
        <v>15</v>
      </c>
    </row>
    <row r="60" spans="24:59" ht="15" thickBot="1" x14ac:dyDescent="0.35">
      <c r="AM60">
        <v>5000</v>
      </c>
      <c r="AQ60" s="2">
        <v>1</v>
      </c>
      <c r="AR60" s="5">
        <f t="shared" ref="AR60:AY60" si="38">IF(AR51-Z51&gt;=0,0,ART1-Z21)</f>
        <v>0</v>
      </c>
      <c r="AS60" s="5">
        <f t="shared" si="38"/>
        <v>0</v>
      </c>
      <c r="AT60" s="5">
        <f t="shared" si="38"/>
        <v>0</v>
      </c>
      <c r="AU60" s="5">
        <f t="shared" si="38"/>
        <v>0</v>
      </c>
      <c r="AV60" s="5">
        <f t="shared" si="38"/>
        <v>0</v>
      </c>
      <c r="AW60" s="5">
        <f t="shared" si="38"/>
        <v>0</v>
      </c>
      <c r="AX60" s="5">
        <f t="shared" si="38"/>
        <v>0</v>
      </c>
      <c r="AY60" s="5">
        <f t="shared" si="38"/>
        <v>0</v>
      </c>
      <c r="AZ60" s="5"/>
      <c r="BA60" s="5"/>
      <c r="BB60" s="5"/>
      <c r="BC60" s="5"/>
      <c r="BD60" s="5"/>
      <c r="BE60" s="5"/>
      <c r="BF60" s="5"/>
      <c r="BG60" s="18"/>
    </row>
    <row r="61" spans="24:59" ht="15" thickBot="1" x14ac:dyDescent="0.35">
      <c r="AQ61" s="2">
        <v>2</v>
      </c>
      <c r="AR61" s="5">
        <f t="shared" ref="AR61:AR62" si="39">IF(AR52-Z52&gt;=0,0,ART2-Z22)</f>
        <v>0</v>
      </c>
      <c r="AS61" s="5">
        <f t="shared" ref="AS61:AY62" si="40">IF(AS52-AA52&gt;=0,0,ARU2-AA22)</f>
        <v>0</v>
      </c>
      <c r="AT61" s="5">
        <f t="shared" si="40"/>
        <v>0</v>
      </c>
      <c r="AU61" s="5">
        <f t="shared" si="40"/>
        <v>0</v>
      </c>
      <c r="AV61" s="5">
        <f t="shared" si="40"/>
        <v>0</v>
      </c>
      <c r="AW61" s="5">
        <f t="shared" si="40"/>
        <v>0</v>
      </c>
      <c r="AX61" s="5">
        <f t="shared" si="40"/>
        <v>0</v>
      </c>
      <c r="AY61" s="5">
        <f t="shared" si="40"/>
        <v>0</v>
      </c>
      <c r="AZ61" s="5"/>
      <c r="BA61" s="5"/>
      <c r="BB61" s="5"/>
      <c r="BC61" s="5"/>
      <c r="BD61" s="5"/>
      <c r="BE61" s="5"/>
      <c r="BF61" s="5"/>
      <c r="BG61" s="18"/>
    </row>
    <row r="62" spans="24:59" ht="15" thickBot="1" x14ac:dyDescent="0.35">
      <c r="AQ62" s="2">
        <v>3</v>
      </c>
      <c r="AR62" s="5">
        <f t="shared" si="39"/>
        <v>0</v>
      </c>
      <c r="AS62" s="5">
        <f t="shared" si="40"/>
        <v>0</v>
      </c>
      <c r="AT62" s="5">
        <f t="shared" si="40"/>
        <v>0</v>
      </c>
      <c r="AU62" s="5">
        <f t="shared" si="40"/>
        <v>0</v>
      </c>
      <c r="AV62" s="5">
        <f t="shared" si="40"/>
        <v>0</v>
      </c>
      <c r="AW62" s="5">
        <f t="shared" si="40"/>
        <v>0</v>
      </c>
      <c r="AX62" s="5">
        <f t="shared" si="40"/>
        <v>0</v>
      </c>
      <c r="AY62" s="5">
        <f t="shared" si="40"/>
        <v>0</v>
      </c>
      <c r="AZ62" s="5"/>
      <c r="BA62" s="5"/>
      <c r="BB62" s="5"/>
      <c r="BC62" s="5"/>
      <c r="BD62" s="5"/>
      <c r="BE62" s="5"/>
      <c r="BF62" s="5"/>
      <c r="BG62" s="18"/>
    </row>
    <row r="63" spans="24:59" ht="15" thickBot="1" x14ac:dyDescent="0.35">
      <c r="AQ63" s="2">
        <v>4</v>
      </c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18"/>
    </row>
    <row r="64" spans="24:59" ht="15" thickBot="1" x14ac:dyDescent="0.35">
      <c r="AQ64" s="2">
        <v>5</v>
      </c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18"/>
    </row>
    <row r="66" spans="45:47" x14ac:dyDescent="0.3">
      <c r="AS66" s="13"/>
    </row>
    <row r="67" spans="45:47" x14ac:dyDescent="0.3">
      <c r="AU67" s="3"/>
    </row>
  </sheetData>
  <pageMargins left="0.25" right="0.25" top="0.75" bottom="0.75" header="0.3" footer="0.3"/>
  <pageSetup scale="50" fitToWidth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03FA-10D7-4D2E-9EB9-0375523E7C96}">
  <dimension ref="A1:P18"/>
  <sheetViews>
    <sheetView workbookViewId="0">
      <selection activeCell="J7" sqref="J7"/>
    </sheetView>
  </sheetViews>
  <sheetFormatPr defaultRowHeight="14.4" x14ac:dyDescent="0.3"/>
  <sheetData>
    <row r="1" spans="1:16" ht="15" thickBot="1" x14ac:dyDescent="0.35">
      <c r="A1" s="63"/>
      <c r="B1" s="64" t="s">
        <v>122</v>
      </c>
      <c r="C1" s="64" t="s">
        <v>123</v>
      </c>
      <c r="D1" s="64" t="s">
        <v>124</v>
      </c>
      <c r="E1" s="85" t="s">
        <v>125</v>
      </c>
      <c r="H1" s="64" t="s">
        <v>130</v>
      </c>
      <c r="I1" s="64" t="s">
        <v>131</v>
      </c>
      <c r="J1" s="64" t="s">
        <v>18</v>
      </c>
      <c r="K1" s="64" t="s">
        <v>132</v>
      </c>
    </row>
    <row r="2" spans="1:16" x14ac:dyDescent="0.3">
      <c r="A2" s="63" t="s">
        <v>126</v>
      </c>
      <c r="B2" s="66">
        <v>150</v>
      </c>
      <c r="C2" s="67">
        <v>300</v>
      </c>
      <c r="D2" s="67">
        <v>350</v>
      </c>
      <c r="E2" s="86">
        <v>300</v>
      </c>
      <c r="H2" s="64">
        <v>725</v>
      </c>
      <c r="I2" s="64">
        <v>0.5</v>
      </c>
      <c r="J2" s="64">
        <v>300</v>
      </c>
      <c r="K2" s="64">
        <v>425</v>
      </c>
    </row>
    <row r="3" spans="1:16" x14ac:dyDescent="0.3">
      <c r="A3" s="63" t="s">
        <v>127</v>
      </c>
      <c r="B3" s="69">
        <v>100</v>
      </c>
      <c r="C3" s="85">
        <v>250</v>
      </c>
      <c r="D3" s="85">
        <v>150</v>
      </c>
      <c r="E3" s="68">
        <v>250</v>
      </c>
      <c r="H3" s="64">
        <v>525</v>
      </c>
      <c r="I3" s="64">
        <v>0.1666</v>
      </c>
      <c r="J3" s="64">
        <v>250</v>
      </c>
      <c r="K3" s="64">
        <v>275</v>
      </c>
    </row>
    <row r="4" spans="1:16" x14ac:dyDescent="0.3">
      <c r="A4" s="63" t="s">
        <v>128</v>
      </c>
      <c r="B4" s="69">
        <v>50</v>
      </c>
      <c r="C4" s="85">
        <v>350</v>
      </c>
      <c r="D4" s="85">
        <v>100</v>
      </c>
      <c r="E4" s="68">
        <v>50</v>
      </c>
      <c r="H4" s="64">
        <v>325</v>
      </c>
      <c r="I4" s="64">
        <v>0.33329999999999999</v>
      </c>
      <c r="J4" s="64">
        <v>150</v>
      </c>
      <c r="K4" s="64">
        <v>175</v>
      </c>
    </row>
    <row r="5" spans="1:16" x14ac:dyDescent="0.3">
      <c r="A5" s="63" t="s">
        <v>129</v>
      </c>
      <c r="B5" s="69">
        <v>125</v>
      </c>
      <c r="C5" s="85">
        <v>200</v>
      </c>
      <c r="D5" s="85">
        <v>200</v>
      </c>
      <c r="E5" s="68">
        <v>200</v>
      </c>
    </row>
    <row r="6" spans="1:16" ht="15" thickBot="1" x14ac:dyDescent="0.35">
      <c r="A6" s="63" t="s">
        <v>18</v>
      </c>
      <c r="B6" s="70">
        <v>50</v>
      </c>
      <c r="C6" s="65">
        <v>100</v>
      </c>
      <c r="D6" s="65">
        <v>50</v>
      </c>
      <c r="E6" s="71">
        <v>100</v>
      </c>
      <c r="J6" t="s">
        <v>133</v>
      </c>
    </row>
    <row r="7" spans="1:16" x14ac:dyDescent="0.3">
      <c r="J7" s="87">
        <f>SUMPRODUCT(I2:I4,K2:K4)</f>
        <v>316.64249999999998</v>
      </c>
    </row>
    <row r="11" spans="1:16" ht="20.399999999999999" x14ac:dyDescent="0.3">
      <c r="A11" s="72"/>
      <c r="B11" s="81" t="s">
        <v>134</v>
      </c>
      <c r="C11" s="81"/>
      <c r="D11" s="81"/>
      <c r="E11" s="81"/>
      <c r="F11" s="72"/>
      <c r="G11" s="72"/>
      <c r="H11" s="72"/>
      <c r="I11" s="73" t="s">
        <v>135</v>
      </c>
      <c r="J11" s="73" t="s">
        <v>136</v>
      </c>
      <c r="K11" s="74" t="s">
        <v>137</v>
      </c>
      <c r="L11" s="74" t="s">
        <v>138</v>
      </c>
      <c r="M11" s="72"/>
      <c r="N11" s="72"/>
      <c r="O11" s="72"/>
      <c r="P11" s="72"/>
    </row>
    <row r="12" spans="1:16" ht="21" thickBot="1" x14ac:dyDescent="0.35">
      <c r="A12" s="63" t="s">
        <v>139</v>
      </c>
      <c r="B12" s="73">
        <v>1</v>
      </c>
      <c r="C12" s="73">
        <v>2</v>
      </c>
      <c r="D12" s="73">
        <v>3</v>
      </c>
      <c r="E12" s="73">
        <v>4</v>
      </c>
      <c r="F12" s="73">
        <v>5</v>
      </c>
      <c r="G12" s="73">
        <v>6</v>
      </c>
      <c r="H12" s="73">
        <v>7</v>
      </c>
      <c r="I12" s="73" t="s">
        <v>140</v>
      </c>
      <c r="J12" s="73" t="s">
        <v>122</v>
      </c>
      <c r="K12" s="75" t="s">
        <v>141</v>
      </c>
      <c r="L12" s="74" t="s">
        <v>142</v>
      </c>
      <c r="M12" s="64" t="s">
        <v>122</v>
      </c>
      <c r="N12" s="64" t="s">
        <v>123</v>
      </c>
      <c r="O12" s="64" t="s">
        <v>124</v>
      </c>
      <c r="P12" s="65" t="s">
        <v>125</v>
      </c>
    </row>
    <row r="13" spans="1:16" ht="15" thickBot="1" x14ac:dyDescent="0.35">
      <c r="A13" s="63" t="s">
        <v>126</v>
      </c>
      <c r="B13" s="76">
        <f>M13+N13</f>
        <v>450</v>
      </c>
      <c r="C13" s="77">
        <f>M13+O13</f>
        <v>500</v>
      </c>
      <c r="D13" s="77">
        <f>M13+P13</f>
        <v>450</v>
      </c>
      <c r="E13" s="77">
        <f>M13+N13+O13</f>
        <v>800</v>
      </c>
      <c r="F13" s="77">
        <f>M13+N13+P13</f>
        <v>750</v>
      </c>
      <c r="G13" s="77">
        <f>M13+O13+P13</f>
        <v>800</v>
      </c>
      <c r="H13" s="78">
        <f>M13+N13+O13+P13</f>
        <v>1100</v>
      </c>
      <c r="I13" s="64">
        <v>0.5</v>
      </c>
      <c r="J13" s="73">
        <v>1</v>
      </c>
      <c r="K13" s="73">
        <v>1</v>
      </c>
      <c r="L13" s="73">
        <v>1</v>
      </c>
      <c r="M13" s="66">
        <v>150</v>
      </c>
      <c r="N13" s="66">
        <v>300</v>
      </c>
      <c r="O13" s="67">
        <v>350</v>
      </c>
      <c r="P13" s="68">
        <v>300</v>
      </c>
    </row>
    <row r="14" spans="1:16" ht="15" thickBot="1" x14ac:dyDescent="0.35">
      <c r="A14" s="63" t="s">
        <v>127</v>
      </c>
      <c r="B14" s="76">
        <f t="shared" ref="B14:B16" si="0">M14+N14</f>
        <v>350</v>
      </c>
      <c r="C14" s="77">
        <f t="shared" ref="C14:C16" si="1">M14+O14</f>
        <v>250</v>
      </c>
      <c r="D14" s="77">
        <f t="shared" ref="D14:D16" si="2">M14+P14</f>
        <v>350</v>
      </c>
      <c r="E14" s="77">
        <f t="shared" ref="E14:E16" si="3">M14+N14+O14</f>
        <v>500</v>
      </c>
      <c r="F14" s="77">
        <f t="shared" ref="F14:F16" si="4">M14+N14+P14</f>
        <v>600</v>
      </c>
      <c r="G14" s="77">
        <f t="shared" ref="G14:G16" si="5">M14+O14+P14</f>
        <v>500</v>
      </c>
      <c r="H14" s="78">
        <f t="shared" ref="H14:H16" si="6">M14+N14+O14+P14</f>
        <v>750</v>
      </c>
      <c r="I14" s="64">
        <v>0.1666</v>
      </c>
      <c r="J14" s="72"/>
      <c r="K14" s="73">
        <v>0</v>
      </c>
      <c r="L14" s="73">
        <v>0</v>
      </c>
      <c r="M14" s="69">
        <v>100</v>
      </c>
      <c r="N14" s="69">
        <v>250</v>
      </c>
      <c r="O14" s="64">
        <v>150</v>
      </c>
      <c r="P14" s="68">
        <v>250</v>
      </c>
    </row>
    <row r="15" spans="1:16" ht="15" thickBot="1" x14ac:dyDescent="0.35">
      <c r="A15" s="63" t="s">
        <v>128</v>
      </c>
      <c r="B15" s="76">
        <f t="shared" si="0"/>
        <v>400</v>
      </c>
      <c r="C15" s="77">
        <f t="shared" si="1"/>
        <v>150</v>
      </c>
      <c r="D15" s="77">
        <f t="shared" si="2"/>
        <v>100</v>
      </c>
      <c r="E15" s="77">
        <f t="shared" si="3"/>
        <v>500</v>
      </c>
      <c r="F15" s="77">
        <f t="shared" si="4"/>
        <v>450</v>
      </c>
      <c r="G15" s="77">
        <f t="shared" si="5"/>
        <v>200</v>
      </c>
      <c r="H15" s="78">
        <f t="shared" si="6"/>
        <v>550</v>
      </c>
      <c r="I15" s="64">
        <v>0.33329999999999999</v>
      </c>
      <c r="J15" s="72"/>
      <c r="K15" s="73">
        <v>0</v>
      </c>
      <c r="L15" s="73">
        <v>-1</v>
      </c>
      <c r="M15" s="70">
        <v>50</v>
      </c>
      <c r="N15" s="70">
        <v>350</v>
      </c>
      <c r="O15" s="65">
        <v>100</v>
      </c>
      <c r="P15" s="71">
        <v>50</v>
      </c>
    </row>
    <row r="16" spans="1:16" ht="15" thickBot="1" x14ac:dyDescent="0.35">
      <c r="A16" s="63" t="s">
        <v>18</v>
      </c>
      <c r="B16" s="82">
        <f t="shared" si="0"/>
        <v>150</v>
      </c>
      <c r="C16" s="83">
        <f t="shared" si="1"/>
        <v>100</v>
      </c>
      <c r="D16" s="83">
        <f t="shared" si="2"/>
        <v>150</v>
      </c>
      <c r="E16" s="83">
        <f t="shared" si="3"/>
        <v>200</v>
      </c>
      <c r="F16" s="83">
        <f t="shared" si="4"/>
        <v>250</v>
      </c>
      <c r="G16" s="83">
        <f t="shared" si="5"/>
        <v>200</v>
      </c>
      <c r="H16" s="84">
        <f t="shared" si="6"/>
        <v>300</v>
      </c>
      <c r="I16" s="72"/>
      <c r="J16" s="72"/>
      <c r="K16" s="72"/>
      <c r="L16" s="72" t="s">
        <v>18</v>
      </c>
      <c r="M16" s="64">
        <v>50</v>
      </c>
      <c r="N16" s="64">
        <v>100</v>
      </c>
      <c r="O16" s="64">
        <v>50</v>
      </c>
      <c r="P16" s="64">
        <v>100</v>
      </c>
    </row>
    <row r="18" spans="2:8" x14ac:dyDescent="0.3">
      <c r="B18" t="s">
        <v>143</v>
      </c>
      <c r="C18" t="s">
        <v>144</v>
      </c>
      <c r="D18" t="s">
        <v>145</v>
      </c>
      <c r="E18" t="s">
        <v>146</v>
      </c>
      <c r="F18" t="s">
        <v>147</v>
      </c>
      <c r="G18" t="s">
        <v>148</v>
      </c>
      <c r="H18" t="s">
        <v>149</v>
      </c>
    </row>
  </sheetData>
  <mergeCells count="1">
    <mergeCell ref="B11:E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5" baseType="lpstr">
      <vt:lpstr>Computation Sheet</vt:lpstr>
      <vt:lpstr>Initial data</vt:lpstr>
      <vt:lpstr>CSifBuy</vt:lpstr>
      <vt:lpstr>L</vt:lpstr>
      <vt:lpstr>Lagrange_Multiplier</vt:lpstr>
      <vt:lpstr>M</vt:lpstr>
      <vt:lpstr>Max_Utility</vt:lpstr>
      <vt:lpstr>MaxCS</vt:lpstr>
      <vt:lpstr>MaxU_MinC</vt:lpstr>
      <vt:lpstr>Min_Cost</vt:lpstr>
      <vt:lpstr>n</vt:lpstr>
      <vt:lpstr>OneBundle</vt:lpstr>
      <vt:lpstr>Pi</vt:lpstr>
      <vt:lpstr>Pki</vt:lpstr>
      <vt:lpstr>RepeatedPi</vt:lpstr>
      <vt:lpstr>RepeatedSk</vt:lpstr>
      <vt:lpstr>RepeatPi_MaxU1_Tki</vt:lpstr>
      <vt:lpstr>Sk</vt:lpstr>
      <vt:lpstr>Sk_Ski</vt:lpstr>
      <vt:lpstr>SubAddPrice</vt:lpstr>
      <vt:lpstr>SumSk</vt:lpstr>
      <vt:lpstr>Tk</vt:lpstr>
      <vt:lpstr>Tki</vt:lpstr>
      <vt:lpstr>Total_Profit</vt:lpstr>
      <vt:lpstr>U_net_P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Hess</dc:creator>
  <cp:lastModifiedBy>malgareddy, madhuri</cp:lastModifiedBy>
  <cp:lastPrinted>2022-01-31T20:59:04Z</cp:lastPrinted>
  <dcterms:created xsi:type="dcterms:W3CDTF">2022-01-28T13:28:49Z</dcterms:created>
  <dcterms:modified xsi:type="dcterms:W3CDTF">2025-03-25T18:11:10Z</dcterms:modified>
</cp:coreProperties>
</file>