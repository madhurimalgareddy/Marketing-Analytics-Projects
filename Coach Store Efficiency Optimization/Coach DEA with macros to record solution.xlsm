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enora\Documents\MSBA2024 at UH\MARK 7380\week 4\"/>
    </mc:Choice>
  </mc:AlternateContent>
  <xr:revisionPtr revIDLastSave="0" documentId="13_ncr:1_{8BE3BA85-E87E-4BC0-88D2-D18B5CA0AE54}" xr6:coauthVersionLast="47" xr6:coauthVersionMax="47" xr10:uidLastSave="{00000000-0000-0000-0000-000000000000}"/>
  <bookViews>
    <workbookView xWindow="28680" yWindow="1605" windowWidth="29040" windowHeight="16440" xr2:uid="{00000000-000D-0000-FFFF-FFFF00000000}"/>
  </bookViews>
  <sheets>
    <sheet name="Efficiency of Coach stores" sheetId="1" r:id="rId1"/>
    <sheet name="Best Practice Benchmarking" sheetId="4" r:id="rId2"/>
    <sheet name="Sheet1" sheetId="5" r:id="rId3"/>
    <sheet name="Why some stores are Inefficient" sheetId="3" r:id="rId4"/>
  </sheets>
  <definedNames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8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Focal_Firm">'Best Practice Benchmarking'!$B$20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Row_Focus">'Best Practice Benchmarking'!$A$20</definedName>
    <definedName name="Selected_store">'Efficiency of Coach stores'!$B$3</definedName>
    <definedName name="Selected_store_input_cost">'Efficiency of Coach stores'!$B$41</definedName>
    <definedName name="Selected_store_output_value">'Efficiency of Coach stores'!$B$44</definedName>
    <definedName name="solver_adj" localSheetId="1" hidden="1">'Best Practice Benchmarking'!$N$3:$N$9</definedName>
    <definedName name="solver_adj" localSheetId="0" hidden="1">'Efficiency of Coach stores'!$B$21:$D$21,'Efficiency of Coach stores'!$G$21:$J$21</definedName>
    <definedName name="solver_adj" localSheetId="3" hidden="1">'Why some stores are Inefficient'!$K$14:$K$20</definedName>
    <definedName name="solver_cvg" localSheetId="1" hidden="1">0.0001</definedName>
    <definedName name="solver_cvg" localSheetId="0" hidden="1">0.0001</definedName>
    <definedName name="solver_cvg" localSheetId="3" hidden="1">0.0001</definedName>
    <definedName name="solver_drv" localSheetId="1" hidden="1">1</definedName>
    <definedName name="solver_drv" localSheetId="0" hidden="1">1</definedName>
    <definedName name="solver_drv" localSheetId="3" hidden="1">1</definedName>
    <definedName name="solver_eng" localSheetId="1" hidden="1">2</definedName>
    <definedName name="solver_eng" localSheetId="0" hidden="1">2</definedName>
    <definedName name="solver_eng" localSheetId="3" hidden="1">2</definedName>
    <definedName name="solver_est" localSheetId="1" hidden="1">1</definedName>
    <definedName name="solver_est" localSheetId="0" hidden="1">1</definedName>
    <definedName name="solver_est" localSheetId="3" hidden="1">1</definedName>
    <definedName name="solver_ibd" localSheetId="0" hidden="1">2</definedName>
    <definedName name="solver_ibd" localSheetId="3" hidden="1">2</definedName>
    <definedName name="solver_itr" localSheetId="1" hidden="1">2147483647</definedName>
    <definedName name="solver_itr" localSheetId="0" hidden="1">100</definedName>
    <definedName name="solver_itr" localSheetId="3" hidden="1">2147483647</definedName>
    <definedName name="solver_lhs1" localSheetId="1" hidden="1">'Best Practice Benchmarking'!$C$22:$E$22</definedName>
    <definedName name="solver_lhs1" localSheetId="0" hidden="1">'Efficiency of Coach stores'!$B$25:$B$38</definedName>
    <definedName name="solver_lhs1" localSheetId="3" hidden="1">'Why some stores are Inefficient'!$B$22:$D$22</definedName>
    <definedName name="solver_lhs2" localSheetId="1" hidden="1">'Best Practice Benchmarking'!$G$22:$J$22</definedName>
    <definedName name="solver_lhs2" localSheetId="0" hidden="1">'Efficiency of Coach stores'!$B$41</definedName>
    <definedName name="solver_lhs2" localSheetId="3" hidden="1">'Why some stores are Inefficient'!$F$22:$I$22</definedName>
    <definedName name="solver_lhs3" localSheetId="0" hidden="1">'Efficiency of Coach stores'!$B$41</definedName>
    <definedName name="solver_lin" localSheetId="0" hidden="1">1</definedName>
    <definedName name="solver_lin" localSheetId="3" hidden="1">1</definedName>
    <definedName name="solver_loc" localSheetId="0" hidden="1">1</definedName>
    <definedName name="solver_loc" localSheetId="3" hidden="1">1</definedName>
    <definedName name="solver_lva" localSheetId="0" hidden="1">2</definedName>
    <definedName name="solver_lva" localSheetId="3" hidden="1">2</definedName>
    <definedName name="solver_mip" localSheetId="1" hidden="1">2147483647</definedName>
    <definedName name="solver_mip" localSheetId="0" hidden="1">5000</definedName>
    <definedName name="solver_mip" localSheetId="3" hidden="1">2147483647</definedName>
    <definedName name="solver_mni" localSheetId="1" hidden="1">30</definedName>
    <definedName name="solver_mni" localSheetId="0" hidden="1">30</definedName>
    <definedName name="solver_mni" localSheetId="3" hidden="1">30</definedName>
    <definedName name="solver_mrt" localSheetId="1" hidden="1">0.075</definedName>
    <definedName name="solver_mrt" localSheetId="0" hidden="1">0.075</definedName>
    <definedName name="solver_mrt" localSheetId="3" hidden="1">0.075</definedName>
    <definedName name="solver_msl" localSheetId="1" hidden="1">2</definedName>
    <definedName name="solver_msl" localSheetId="0" hidden="1">2</definedName>
    <definedName name="solver_msl" localSheetId="3" hidden="1">2</definedName>
    <definedName name="solver_neg" localSheetId="1" hidden="1">1</definedName>
    <definedName name="solver_neg" localSheetId="0" hidden="1">1</definedName>
    <definedName name="solver_neg" localSheetId="3" hidden="1">1</definedName>
    <definedName name="solver_nod" localSheetId="1" hidden="1">2147483647</definedName>
    <definedName name="solver_nod" localSheetId="0" hidden="1">5000</definedName>
    <definedName name="solver_nod" localSheetId="3" hidden="1">2147483647</definedName>
    <definedName name="solver_num" localSheetId="1" hidden="1">2</definedName>
    <definedName name="solver_num" localSheetId="0" hidden="1">2</definedName>
    <definedName name="solver_num" localSheetId="3" hidden="1">2</definedName>
    <definedName name="solver_nwt" localSheetId="1" hidden="1">1</definedName>
    <definedName name="solver_nwt" localSheetId="0" hidden="1">1</definedName>
    <definedName name="solver_nwt" localSheetId="3" hidden="1">1</definedName>
    <definedName name="solver_ofx" localSheetId="0" hidden="1">2</definedName>
    <definedName name="solver_ofx" localSheetId="3" hidden="1">2</definedName>
    <definedName name="solver_opt" localSheetId="0" hidden="1">'Efficiency of Coach stores'!$B$44</definedName>
    <definedName name="solver_piv" localSheetId="0" hidden="1">0.000001</definedName>
    <definedName name="solver_piv" localSheetId="3" hidden="1">0.000001</definedName>
    <definedName name="solver_pre" localSheetId="1" hidden="1">0.000001</definedName>
    <definedName name="solver_pre" localSheetId="0" hidden="1">0.000001</definedName>
    <definedName name="solver_pre" localSheetId="3" hidden="1">0.000001</definedName>
    <definedName name="solver_pro" localSheetId="0" hidden="1">2</definedName>
    <definedName name="solver_pro" localSheetId="3" hidden="1">2</definedName>
    <definedName name="solver_rbv" localSheetId="1" hidden="1">1</definedName>
    <definedName name="solver_rbv" localSheetId="0" hidden="1">1</definedName>
    <definedName name="solver_rbv" localSheetId="3" hidden="1">1</definedName>
    <definedName name="solver_red" localSheetId="0" hidden="1">0.000001</definedName>
    <definedName name="solver_red" localSheetId="3" hidden="1">0.000001</definedName>
    <definedName name="solver_rel1" localSheetId="1" hidden="1">1</definedName>
    <definedName name="solver_rel1" localSheetId="0" hidden="1">3</definedName>
    <definedName name="solver_rel1" localSheetId="3" hidden="1">1</definedName>
    <definedName name="solver_rel2" localSheetId="1" hidden="1">3</definedName>
    <definedName name="solver_rel2" localSheetId="0" hidden="1">2</definedName>
    <definedName name="solver_rel2" localSheetId="3" hidden="1">3</definedName>
    <definedName name="solver_rel3" localSheetId="0" hidden="1">2</definedName>
    <definedName name="solver_reo" localSheetId="0" hidden="1">2</definedName>
    <definedName name="solver_reo" localSheetId="3" hidden="1">2</definedName>
    <definedName name="solver_rep" localSheetId="0" hidden="1">2</definedName>
    <definedName name="solver_rep" localSheetId="3" hidden="1">2</definedName>
    <definedName name="solver_rhs1" localSheetId="1" hidden="1">'Best Practice Benchmarking'!$C$20:$E$20</definedName>
    <definedName name="solver_rhs1" localSheetId="0" hidden="1">'Efficiency of Coach stores'!$D$25:$D$38</definedName>
    <definedName name="solver_rhs1" localSheetId="3" hidden="1">'Why some stores are Inefficient'!$B$24:$D$24</definedName>
    <definedName name="solver_rhs2" localSheetId="1" hidden="1">'Best Practice Benchmarking'!$G$20:$J$20</definedName>
    <definedName name="solver_rhs2" localSheetId="0" hidden="1">1</definedName>
    <definedName name="solver_rhs2" localSheetId="3" hidden="1">'Why some stores are Inefficient'!$F$24:$I$24</definedName>
    <definedName name="solver_rhs3" localSheetId="0" hidden="1">'Efficiency of Coach stores'!$D$41</definedName>
    <definedName name="solver_rlx" localSheetId="1" hidden="1">2</definedName>
    <definedName name="solver_rlx" localSheetId="0" hidden="1">2</definedName>
    <definedName name="solver_rlx" localSheetId="3" hidden="1">2</definedName>
    <definedName name="solver_rsd" localSheetId="1" hidden="1">0</definedName>
    <definedName name="solver_rsd" localSheetId="0" hidden="1">0</definedName>
    <definedName name="solver_rsd" localSheetId="3" hidden="1">0</definedName>
    <definedName name="solver_scl" localSheetId="1" hidden="1">1</definedName>
    <definedName name="solver_scl" localSheetId="0" hidden="1">2</definedName>
    <definedName name="solver_scl" localSheetId="3" hidden="1">1</definedName>
    <definedName name="solver_sho" localSheetId="1" hidden="1">2</definedName>
    <definedName name="solver_sho" localSheetId="0" hidden="1">2</definedName>
    <definedName name="solver_sho" localSheetId="3" hidden="1">2</definedName>
    <definedName name="solver_ssz" localSheetId="1" hidden="1">100</definedName>
    <definedName name="solver_ssz" localSheetId="0" hidden="1">100</definedName>
    <definedName name="solver_ssz" localSheetId="3" hidden="1">100</definedName>
    <definedName name="solver_std" localSheetId="0" hidden="1">1</definedName>
    <definedName name="solver_std" localSheetId="3" hidden="1">1</definedName>
    <definedName name="solver_tim" localSheetId="1" hidden="1">2147483647</definedName>
    <definedName name="solver_tim" localSheetId="0" hidden="1">100</definedName>
    <definedName name="solver_tim" localSheetId="3" hidden="1">2147483647</definedName>
    <definedName name="solver_tmp" localSheetId="0" hidden="1">0</definedName>
    <definedName name="solver_tol" localSheetId="1" hidden="1">0.01</definedName>
    <definedName name="solver_tol" localSheetId="0" hidden="1">0.05</definedName>
    <definedName name="solver_tol" localSheetId="3" hidden="1">0.01</definedName>
    <definedName name="solver_typ" localSheetId="1" hidden="1">1</definedName>
    <definedName name="solver_typ" localSheetId="0" hidden="1">1</definedName>
    <definedName name="solver_typ" localSheetId="3" hidden="1">1</definedName>
    <definedName name="solver_val" localSheetId="1" hidden="1">0</definedName>
    <definedName name="solver_val" localSheetId="0" hidden="1">0</definedName>
    <definedName name="solver_val" localSheetId="3" hidden="1">0</definedName>
    <definedName name="solver_ver" localSheetId="1" hidden="1">3</definedName>
    <definedName name="solver_ver" localSheetId="0" hidden="1">3</definedName>
    <definedName name="solver_ver" localSheetId="3" hidden="1">3</definedName>
    <definedName name="Unit_costs_of_inputs">'Efficiency of Coach stores'!$B$21:$D$21</definedName>
    <definedName name="Unit_prices_of_outputs">'Efficiency of Coach stores'!$G$21:$J$21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5" i="4" l="1"/>
  <c r="E45" i="4"/>
  <c r="E46" i="4" s="1"/>
  <c r="G45" i="4"/>
  <c r="G46" i="4" s="1"/>
  <c r="H45" i="4"/>
  <c r="I45" i="4"/>
  <c r="J45" i="4"/>
  <c r="C45" i="4"/>
  <c r="K44" i="4"/>
  <c r="J46" i="4"/>
  <c r="D40" i="4"/>
  <c r="D41" i="4" s="1"/>
  <c r="E40" i="4"/>
  <c r="F40" i="4"/>
  <c r="G40" i="4"/>
  <c r="H40" i="4"/>
  <c r="I40" i="4"/>
  <c r="J40" i="4"/>
  <c r="C40" i="4"/>
  <c r="D44" i="4"/>
  <c r="E44" i="4"/>
  <c r="G44" i="4"/>
  <c r="H44" i="4"/>
  <c r="I44" i="4"/>
  <c r="J44" i="4"/>
  <c r="C44" i="4"/>
  <c r="K39" i="4"/>
  <c r="D39" i="4"/>
  <c r="E39" i="4"/>
  <c r="G39" i="4"/>
  <c r="H39" i="4"/>
  <c r="H41" i="4" s="1"/>
  <c r="I39" i="4"/>
  <c r="I41" i="4" s="1"/>
  <c r="J39" i="4"/>
  <c r="C39" i="4"/>
  <c r="B35" i="4"/>
  <c r="B30" i="4"/>
  <c r="B31" i="4"/>
  <c r="B32" i="4"/>
  <c r="B33" i="4"/>
  <c r="B34" i="4"/>
  <c r="B29" i="4"/>
  <c r="B22" i="3"/>
  <c r="J22" i="3"/>
  <c r="K24" i="3"/>
  <c r="K11" i="3"/>
  <c r="K10" i="3"/>
  <c r="K9" i="3"/>
  <c r="K8" i="3"/>
  <c r="K7" i="3"/>
  <c r="K6" i="3"/>
  <c r="K5" i="3"/>
  <c r="C22" i="4"/>
  <c r="G7" i="1"/>
  <c r="H7" i="1"/>
  <c r="I7" i="1"/>
  <c r="J7" i="1"/>
  <c r="G8" i="1"/>
  <c r="H8" i="1"/>
  <c r="I8" i="1"/>
  <c r="J8" i="1"/>
  <c r="G9" i="1"/>
  <c r="H9" i="1"/>
  <c r="I9" i="1"/>
  <c r="J9" i="1"/>
  <c r="G10" i="1"/>
  <c r="H10" i="1"/>
  <c r="I10" i="1"/>
  <c r="J10" i="1"/>
  <c r="G11" i="1"/>
  <c r="H11" i="1"/>
  <c r="I11" i="1"/>
  <c r="J11" i="1"/>
  <c r="G12" i="1"/>
  <c r="H12" i="1"/>
  <c r="I12" i="1"/>
  <c r="J12" i="1"/>
  <c r="G13" i="1"/>
  <c r="H13" i="1"/>
  <c r="I13" i="1"/>
  <c r="J13" i="1"/>
  <c r="G14" i="1"/>
  <c r="H14" i="1"/>
  <c r="I14" i="1"/>
  <c r="J14" i="1"/>
  <c r="G15" i="1"/>
  <c r="H15" i="1"/>
  <c r="I15" i="1"/>
  <c r="J15" i="1"/>
  <c r="G16" i="1"/>
  <c r="H16" i="1"/>
  <c r="I16" i="1"/>
  <c r="J16" i="1"/>
  <c r="G17" i="1"/>
  <c r="H17" i="1"/>
  <c r="I17" i="1"/>
  <c r="J17" i="1"/>
  <c r="G18" i="1"/>
  <c r="H18" i="1"/>
  <c r="I18" i="1"/>
  <c r="J18" i="1"/>
  <c r="G19" i="1"/>
  <c r="H19" i="1"/>
  <c r="I19" i="1"/>
  <c r="J19" i="1"/>
  <c r="H6" i="1"/>
  <c r="I6" i="1"/>
  <c r="J6" i="1"/>
  <c r="G6" i="1"/>
  <c r="B7" i="1"/>
  <c r="C7" i="1"/>
  <c r="D7" i="1"/>
  <c r="B8" i="1"/>
  <c r="C8" i="1"/>
  <c r="D8" i="1"/>
  <c r="B9" i="1"/>
  <c r="C9" i="1"/>
  <c r="D9" i="1"/>
  <c r="B10" i="1"/>
  <c r="C10" i="1"/>
  <c r="D10" i="1"/>
  <c r="B11" i="1"/>
  <c r="C11" i="1"/>
  <c r="D11" i="1"/>
  <c r="B12" i="1"/>
  <c r="C12" i="1"/>
  <c r="D12" i="1"/>
  <c r="B13" i="1"/>
  <c r="C13" i="1"/>
  <c r="D13" i="1"/>
  <c r="B14" i="1"/>
  <c r="C14" i="1"/>
  <c r="D14" i="1"/>
  <c r="B15" i="1"/>
  <c r="C15" i="1"/>
  <c r="D15" i="1"/>
  <c r="B16" i="1"/>
  <c r="C16" i="1"/>
  <c r="D16" i="1"/>
  <c r="B17" i="1"/>
  <c r="C17" i="1"/>
  <c r="D17" i="1"/>
  <c r="B18" i="1"/>
  <c r="C18" i="1"/>
  <c r="D18" i="1"/>
  <c r="B19" i="1"/>
  <c r="C19" i="1"/>
  <c r="D19" i="1"/>
  <c r="C6" i="1"/>
  <c r="D6" i="1"/>
  <c r="B6" i="1"/>
  <c r="D22" i="4"/>
  <c r="E22" i="4"/>
  <c r="G22" i="4"/>
  <c r="H22" i="4"/>
  <c r="I22" i="4"/>
  <c r="J22" i="4"/>
  <c r="C20" i="4"/>
  <c r="D20" i="4"/>
  <c r="E20" i="4"/>
  <c r="G20" i="4"/>
  <c r="H20" i="4"/>
  <c r="I20" i="4"/>
  <c r="J20" i="4"/>
  <c r="B20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3" i="4"/>
  <c r="K50" i="1"/>
  <c r="G22" i="3"/>
  <c r="H22" i="3"/>
  <c r="I22" i="3"/>
  <c r="F22" i="3"/>
  <c r="C22" i="3"/>
  <c r="D22" i="3"/>
  <c r="I46" i="4" l="1"/>
  <c r="G41" i="4"/>
  <c r="C46" i="4"/>
  <c r="J41" i="4"/>
  <c r="E41" i="4"/>
  <c r="H46" i="4"/>
  <c r="D46" i="4"/>
  <c r="C41" i="4"/>
  <c r="C24" i="4"/>
  <c r="G24" i="4"/>
  <c r="D24" i="4"/>
  <c r="J24" i="4"/>
  <c r="I24" i="4"/>
  <c r="H24" i="4"/>
  <c r="E24" i="4"/>
  <c r="AV7" i="1"/>
  <c r="AW7" i="1"/>
  <c r="BJ7" i="1" s="1"/>
  <c r="K52" i="1" s="1"/>
  <c r="AX7" i="1"/>
  <c r="AY7" i="1"/>
  <c r="AZ7" i="1"/>
  <c r="BA7" i="1"/>
  <c r="BB7" i="1"/>
  <c r="BC7" i="1"/>
  <c r="BD7" i="1"/>
  <c r="BE7" i="1"/>
  <c r="BF7" i="1"/>
  <c r="BG7" i="1"/>
  <c r="BH7" i="1"/>
  <c r="BI7" i="1"/>
  <c r="AV8" i="1"/>
  <c r="AW8" i="1"/>
  <c r="AX8" i="1"/>
  <c r="BJ8" i="1" s="1"/>
  <c r="K53" i="1" s="1"/>
  <c r="AY8" i="1"/>
  <c r="AZ8" i="1"/>
  <c r="BA8" i="1"/>
  <c r="BB8" i="1"/>
  <c r="BC8" i="1"/>
  <c r="BD8" i="1"/>
  <c r="BE8" i="1"/>
  <c r="BF8" i="1"/>
  <c r="BG8" i="1"/>
  <c r="BH8" i="1"/>
  <c r="BI8" i="1"/>
  <c r="AV9" i="1"/>
  <c r="AW9" i="1"/>
  <c r="AX9" i="1"/>
  <c r="AY9" i="1"/>
  <c r="BJ9" i="1" s="1"/>
  <c r="K54" i="1" s="1"/>
  <c r="AZ9" i="1"/>
  <c r="BA9" i="1"/>
  <c r="BB9" i="1"/>
  <c r="BC9" i="1"/>
  <c r="BD9" i="1"/>
  <c r="BE9" i="1"/>
  <c r="BF9" i="1"/>
  <c r="BG9" i="1"/>
  <c r="BH9" i="1"/>
  <c r="BI9" i="1"/>
  <c r="AV10" i="1"/>
  <c r="AW10" i="1"/>
  <c r="AX10" i="1"/>
  <c r="AY10" i="1"/>
  <c r="AZ10" i="1"/>
  <c r="BJ10" i="1" s="1"/>
  <c r="K55" i="1" s="1"/>
  <c r="BA10" i="1"/>
  <c r="BB10" i="1"/>
  <c r="BC10" i="1"/>
  <c r="BD10" i="1"/>
  <c r="BE10" i="1"/>
  <c r="BF10" i="1"/>
  <c r="BG10" i="1"/>
  <c r="BH10" i="1"/>
  <c r="BI10" i="1"/>
  <c r="AV11" i="1"/>
  <c r="AW11" i="1"/>
  <c r="AX11" i="1"/>
  <c r="AY11" i="1"/>
  <c r="AZ11" i="1"/>
  <c r="BA11" i="1"/>
  <c r="BJ11" i="1" s="1"/>
  <c r="K56" i="1" s="1"/>
  <c r="BB11" i="1"/>
  <c r="BC11" i="1"/>
  <c r="BD11" i="1"/>
  <c r="BE11" i="1"/>
  <c r="BF11" i="1"/>
  <c r="BG11" i="1"/>
  <c r="BH11" i="1"/>
  <c r="BI11" i="1"/>
  <c r="AV12" i="1"/>
  <c r="AW12" i="1"/>
  <c r="AX12" i="1"/>
  <c r="AY12" i="1"/>
  <c r="AZ12" i="1"/>
  <c r="BA12" i="1"/>
  <c r="BB12" i="1"/>
  <c r="BJ12" i="1" s="1"/>
  <c r="K57" i="1" s="1"/>
  <c r="BC12" i="1"/>
  <c r="BD12" i="1"/>
  <c r="BE12" i="1"/>
  <c r="BF12" i="1"/>
  <c r="BG12" i="1"/>
  <c r="BH12" i="1"/>
  <c r="BI12" i="1"/>
  <c r="AV13" i="1"/>
  <c r="AW13" i="1"/>
  <c r="AX13" i="1"/>
  <c r="AY13" i="1"/>
  <c r="AZ13" i="1"/>
  <c r="BA13" i="1"/>
  <c r="BB13" i="1"/>
  <c r="BC13" i="1"/>
  <c r="BJ13" i="1" s="1"/>
  <c r="K58" i="1" s="1"/>
  <c r="BD13" i="1"/>
  <c r="BE13" i="1"/>
  <c r="BF13" i="1"/>
  <c r="BG13" i="1"/>
  <c r="BH13" i="1"/>
  <c r="BI13" i="1"/>
  <c r="AV14" i="1"/>
  <c r="AW14" i="1"/>
  <c r="AX14" i="1"/>
  <c r="AY14" i="1"/>
  <c r="AZ14" i="1"/>
  <c r="BA14" i="1"/>
  <c r="BB14" i="1"/>
  <c r="BC14" i="1"/>
  <c r="BD14" i="1"/>
  <c r="BJ14" i="1" s="1"/>
  <c r="K59" i="1" s="1"/>
  <c r="BE14" i="1"/>
  <c r="BF14" i="1"/>
  <c r="BG14" i="1"/>
  <c r="BH14" i="1"/>
  <c r="BI14" i="1"/>
  <c r="AV15" i="1"/>
  <c r="AW15" i="1"/>
  <c r="AX15" i="1"/>
  <c r="AY15" i="1"/>
  <c r="AZ15" i="1"/>
  <c r="BA15" i="1"/>
  <c r="BB15" i="1"/>
  <c r="BC15" i="1"/>
  <c r="BD15" i="1"/>
  <c r="BE15" i="1"/>
  <c r="BJ15" i="1" s="1"/>
  <c r="K60" i="1" s="1"/>
  <c r="BF15" i="1"/>
  <c r="BG15" i="1"/>
  <c r="BH15" i="1"/>
  <c r="BI15" i="1"/>
  <c r="AV16" i="1"/>
  <c r="AW16" i="1"/>
  <c r="AX16" i="1"/>
  <c r="AY16" i="1"/>
  <c r="AZ16" i="1"/>
  <c r="BA16" i="1"/>
  <c r="BB16" i="1"/>
  <c r="BC16" i="1"/>
  <c r="BD16" i="1"/>
  <c r="BE16" i="1"/>
  <c r="BF16" i="1"/>
  <c r="BJ16" i="1" s="1"/>
  <c r="K61" i="1" s="1"/>
  <c r="BG16" i="1"/>
  <c r="BH16" i="1"/>
  <c r="BI16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J18" i="1" s="1"/>
  <c r="K63" i="1" s="1"/>
  <c r="BI18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AV6" i="1"/>
  <c r="AG47" i="1"/>
  <c r="U47" i="1"/>
  <c r="V47" i="1"/>
  <c r="W47" i="1"/>
  <c r="X47" i="1"/>
  <c r="Y47" i="1"/>
  <c r="Z47" i="1"/>
  <c r="AA47" i="1"/>
  <c r="AB47" i="1"/>
  <c r="AC47" i="1"/>
  <c r="AD47" i="1"/>
  <c r="AE47" i="1"/>
  <c r="AF47" i="1"/>
  <c r="T47" i="1"/>
  <c r="BJ6" i="1"/>
  <c r="K51" i="1" s="1"/>
  <c r="D25" i="1"/>
  <c r="BJ17" i="1"/>
  <c r="K62" i="1" s="1"/>
  <c r="BJ19" i="1"/>
  <c r="K64" i="1" s="1"/>
  <c r="BK6" i="1" l="1"/>
  <c r="BK9" i="1"/>
  <c r="BK10" i="1"/>
  <c r="BK11" i="1"/>
  <c r="BK12" i="1"/>
  <c r="BK13" i="1"/>
  <c r="BK14" i="1"/>
  <c r="BK15" i="1"/>
  <c r="BK16" i="1"/>
  <c r="BK17" i="1"/>
  <c r="BK18" i="1"/>
  <c r="BK19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B44" i="1" s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41" i="1" s="1"/>
  <c r="B25" i="1"/>
  <c r="BK8" i="1"/>
  <c r="BK7" i="1"/>
</calcChain>
</file>

<file path=xl/sharedStrings.xml><?xml version="1.0" encoding="utf-8"?>
<sst xmlns="http://schemas.openxmlformats.org/spreadsheetml/2006/main" count="203" uniqueCount="67">
  <si>
    <t>Input 1</t>
  </si>
  <si>
    <t>Input 2</t>
  </si>
  <si>
    <t>Output 1</t>
  </si>
  <si>
    <t>Output 2</t>
  </si>
  <si>
    <t>Output 3</t>
  </si>
  <si>
    <t>Input costs</t>
  </si>
  <si>
    <t>&gt;=</t>
  </si>
  <si>
    <t>=</t>
  </si>
  <si>
    <t>Outputs produced</t>
  </si>
  <si>
    <t>Inputs used</t>
  </si>
  <si>
    <t>Unit costs of inputs</t>
  </si>
  <si>
    <t>Unit prices of outputs</t>
  </si>
  <si>
    <t>Constraints that input costs must cover output values</t>
  </si>
  <si>
    <t>Output values</t>
  </si>
  <si>
    <t>Combination</t>
  </si>
  <si>
    <t>Weights</t>
  </si>
  <si>
    <t>&lt;=</t>
  </si>
  <si>
    <t>Focal Firm</t>
  </si>
  <si>
    <t>Efficiency</t>
  </si>
  <si>
    <t>Is f efficient?</t>
  </si>
  <si>
    <t>Mimic Best Practice</t>
  </si>
  <si>
    <t>Square Footage</t>
  </si>
  <si>
    <t>Sales Associates Payroll/wk</t>
  </si>
  <si>
    <t>Display Merchandise</t>
  </si>
  <si>
    <t>Store 1</t>
  </si>
  <si>
    <t>Store 2</t>
  </si>
  <si>
    <t>Store 3</t>
  </si>
  <si>
    <t>Store 4</t>
  </si>
  <si>
    <t>Store 5</t>
  </si>
  <si>
    <t>Store 6</t>
  </si>
  <si>
    <t>Store 7</t>
  </si>
  <si>
    <t>Store 8</t>
  </si>
  <si>
    <t>Store 9</t>
  </si>
  <si>
    <t>Store 10</t>
  </si>
  <si>
    <t>Store 11</t>
  </si>
  <si>
    <t>Store 12</t>
  </si>
  <si>
    <t>Store 13</t>
  </si>
  <si>
    <t>Store 14</t>
  </si>
  <si>
    <t>Gift Sales</t>
  </si>
  <si>
    <t>Accessories&amp; Ready to Wear Sales</t>
  </si>
  <si>
    <t>Men's Styles Sales</t>
  </si>
  <si>
    <t>Handbag Sales</t>
  </si>
  <si>
    <t>DEA model for checking efficiency of a selected Coach store</t>
  </si>
  <si>
    <t>Selected store</t>
  </si>
  <si>
    <t>(BM:BZ)</t>
  </si>
  <si>
    <r>
      <t>P</t>
    </r>
    <r>
      <rPr>
        <b/>
        <vertAlign val="subscript"/>
        <sz val="11"/>
        <rFont val="Calibri"/>
        <family val="2"/>
        <scheme val="minor"/>
      </rPr>
      <t>inputs</t>
    </r>
  </si>
  <si>
    <r>
      <t>P</t>
    </r>
    <r>
      <rPr>
        <b/>
        <vertAlign val="subscript"/>
        <sz val="11"/>
        <rFont val="Calibri"/>
        <family val="2"/>
        <scheme val="minor"/>
      </rPr>
      <t>outputs</t>
    </r>
  </si>
  <si>
    <r>
      <t>Input</t>
    </r>
    <r>
      <rPr>
        <b/>
        <vertAlign val="subscript"/>
        <sz val="11"/>
        <rFont val="Calibri"/>
        <family val="2"/>
        <scheme val="minor"/>
      </rPr>
      <t>Costs</t>
    </r>
  </si>
  <si>
    <r>
      <t>Output</t>
    </r>
    <r>
      <rPr>
        <b/>
        <vertAlign val="subscript"/>
        <sz val="11"/>
        <rFont val="Calibri"/>
        <family val="2"/>
        <scheme val="minor"/>
      </rPr>
      <t>Costs</t>
    </r>
  </si>
  <si>
    <t>Stores</t>
  </si>
  <si>
    <t>Constraint that selected store's input cost must equal a nominal value of 1</t>
  </si>
  <si>
    <t>Maximize selected store's output value (to see if it is 1, hence efficient)</t>
  </si>
  <si>
    <t>Input 3</t>
  </si>
  <si>
    <t>Output 4</t>
  </si>
  <si>
    <t>Rescaled Inputs used</t>
  </si>
  <si>
    <t>Rescaled Outputs produced</t>
  </si>
  <si>
    <t>Store ID</t>
  </si>
  <si>
    <t>Selected store input cost</t>
  </si>
  <si>
    <t>Selected store output value</t>
  </si>
  <si>
    <t>Comparing combination of efficient stores to a inefficient sotre</t>
  </si>
  <si>
    <t>Row #</t>
  </si>
  <si>
    <t>Row Focus</t>
  </si>
  <si>
    <t>Ratio</t>
  </si>
  <si>
    <t>Input</t>
  </si>
  <si>
    <t>Output</t>
  </si>
  <si>
    <t xml:space="preserve">In </t>
  </si>
  <si>
    <t>For each Inefficient store, the best practice weights of efficent stores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</si>
</sst>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43" formatCode="_(* #,##0.00_);_(* \(#,##0.00\);_(* &quot;-&quot;??_);_(@_)"/>
    <numFmt numFmtId="165" formatCode="0.000"/>
    <numFmt numFmtId="166" formatCode="_(* #,##0.000_);_(* \(#,##0.000\);_(* &quot;-&quot;??_);_(@_)"/>
    <numFmt numFmtId="168" formatCode="_(* #,##0_);_(* \(#,##0\);_(* &quot;-&quot;??_);_(@_)"/>
  </numFmts>
  <fonts count="11" x14ac:knownFonts="1">
    <font>
      <sz val="10"/>
      <name val="Arial"/>
    </font>
    <font>
      <sz val="8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vertAlign val="subscript"/>
      <sz val="1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112">
    <xf numFmtId="0" fontId="0" fillId="0" borderId="0" xfId="0"/>
    <xf numFmtId="0" fontId="2" fillId="0" borderId="0" xfId="0" applyFont="1"/>
    <xf numFmtId="0" fontId="3" fillId="0" borderId="0" xfId="0" applyFont="1"/>
    <xf numFmtId="0" fontId="3" fillId="0" borderId="0" xfId="0" applyFont="1" applyAlignment="1">
      <alignment horizontal="right"/>
    </xf>
    <xf numFmtId="165" fontId="3" fillId="0" borderId="0" xfId="0" applyNumberFormat="1" applyFon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165" fontId="3" fillId="3" borderId="0" xfId="0" applyNumberFormat="1" applyFont="1" applyFill="1"/>
    <xf numFmtId="0" fontId="2" fillId="0" borderId="0" xfId="0" applyFont="1" applyAlignment="1">
      <alignment horizontal="center"/>
    </xf>
    <xf numFmtId="165" fontId="3" fillId="0" borderId="1" xfId="0" applyNumberFormat="1" applyFont="1" applyBorder="1"/>
    <xf numFmtId="165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left"/>
    </xf>
    <xf numFmtId="3" fontId="3" fillId="2" borderId="0" xfId="0" applyNumberFormat="1" applyFont="1" applyFill="1"/>
    <xf numFmtId="6" fontId="3" fillId="2" borderId="0" xfId="0" applyNumberFormat="1" applyFont="1" applyFill="1"/>
    <xf numFmtId="0" fontId="2" fillId="0" borderId="0" xfId="0" applyFont="1" applyAlignment="1">
      <alignment wrapText="1"/>
    </xf>
    <xf numFmtId="0" fontId="3" fillId="0" borderId="0" xfId="0" applyFont="1" applyAlignment="1">
      <alignment horizontal="right" wrapText="1"/>
    </xf>
    <xf numFmtId="0" fontId="2" fillId="0" borderId="0" xfId="0" applyFont="1" applyAlignment="1">
      <alignment horizontal="left" wrapText="1"/>
    </xf>
    <xf numFmtId="0" fontId="3" fillId="0" borderId="0" xfId="0" quotePrefix="1" applyFont="1" applyAlignment="1">
      <alignment horizontal="right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6" fontId="3" fillId="0" borderId="0" xfId="0" applyNumberFormat="1" applyFont="1"/>
    <xf numFmtId="165" fontId="3" fillId="0" borderId="0" xfId="0" applyNumberFormat="1" applyFont="1" applyAlignment="1">
      <alignment horizontal="center" wrapText="1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center" wrapText="1"/>
    </xf>
    <xf numFmtId="0" fontId="2" fillId="0" borderId="2" xfId="0" applyFont="1" applyBorder="1" applyAlignment="1">
      <alignment horizontal="center"/>
    </xf>
    <xf numFmtId="0" fontId="2" fillId="0" borderId="2" xfId="0" applyFont="1" applyBorder="1"/>
    <xf numFmtId="0" fontId="2" fillId="0" borderId="0" xfId="0" applyFont="1" applyAlignment="1">
      <alignment horizontal="left"/>
    </xf>
    <xf numFmtId="165" fontId="3" fillId="0" borderId="0" xfId="0" applyNumberFormat="1" applyFont="1" applyAlignment="1">
      <alignment wrapText="1"/>
    </xf>
    <xf numFmtId="43" fontId="3" fillId="0" borderId="0" xfId="1" applyFont="1"/>
    <xf numFmtId="166" fontId="3" fillId="2" borderId="0" xfId="1" applyNumberFormat="1" applyFont="1" applyFill="1"/>
    <xf numFmtId="166" fontId="3" fillId="4" borderId="1" xfId="1" applyNumberFormat="1" applyFont="1" applyFill="1" applyBorder="1" applyAlignment="1">
      <alignment wrapText="1"/>
    </xf>
    <xf numFmtId="166" fontId="3" fillId="5" borderId="0" xfId="1" applyNumberFormat="1" applyFont="1" applyFill="1" applyAlignment="1">
      <alignment horizontal="center"/>
    </xf>
    <xf numFmtId="166" fontId="3" fillId="0" borderId="0" xfId="0" applyNumberFormat="1" applyFont="1" applyAlignment="1">
      <alignment wrapText="1"/>
    </xf>
    <xf numFmtId="166" fontId="2" fillId="0" borderId="0" xfId="0" applyNumberFormat="1" applyFont="1" applyAlignment="1">
      <alignment wrapText="1"/>
    </xf>
    <xf numFmtId="0" fontId="0" fillId="0" borderId="0" xfId="0" applyBorder="1" applyAlignment="1">
      <alignment horizontal="center"/>
    </xf>
    <xf numFmtId="166" fontId="3" fillId="6" borderId="0" xfId="1" applyNumberFormat="1" applyFont="1" applyFill="1"/>
    <xf numFmtId="43" fontId="3" fillId="0" borderId="0" xfId="1" applyFont="1" applyAlignment="1">
      <alignment horizontal="right"/>
    </xf>
    <xf numFmtId="43" fontId="3" fillId="0" borderId="0" xfId="1" applyFont="1" applyAlignment="1">
      <alignment horizontal="center"/>
    </xf>
    <xf numFmtId="43" fontId="0" fillId="0" borderId="0" xfId="1" applyFont="1" applyAlignment="1">
      <alignment horizontal="center"/>
    </xf>
    <xf numFmtId="43" fontId="0" fillId="0" borderId="0" xfId="1" applyFont="1" applyBorder="1" applyAlignment="1">
      <alignment horizontal="center"/>
    </xf>
    <xf numFmtId="43" fontId="0" fillId="0" borderId="0" xfId="1" applyFont="1"/>
    <xf numFmtId="43" fontId="2" fillId="0" borderId="0" xfId="1" applyFont="1"/>
    <xf numFmtId="43" fontId="2" fillId="0" borderId="2" xfId="1" applyFont="1" applyBorder="1"/>
    <xf numFmtId="43" fontId="3" fillId="4" borderId="1" xfId="1" applyFont="1" applyFill="1" applyBorder="1" applyAlignment="1">
      <alignment wrapText="1"/>
    </xf>
    <xf numFmtId="43" fontId="3" fillId="0" borderId="1" xfId="1" applyFont="1" applyBorder="1"/>
    <xf numFmtId="43" fontId="3" fillId="0" borderId="0" xfId="1" applyFont="1" applyAlignment="1">
      <alignment wrapText="1"/>
    </xf>
    <xf numFmtId="168" fontId="2" fillId="0" borderId="0" xfId="1" applyNumberFormat="1" applyFont="1" applyAlignment="1">
      <alignment horizontal="left" wrapText="1"/>
    </xf>
    <xf numFmtId="168" fontId="3" fillId="0" borderId="0" xfId="1" applyNumberFormat="1" applyFont="1" applyAlignment="1">
      <alignment horizontal="right" wrapText="1"/>
    </xf>
    <xf numFmtId="168" fontId="3" fillId="0" borderId="0" xfId="1" quotePrefix="1" applyNumberFormat="1" applyFont="1" applyAlignment="1">
      <alignment horizontal="right" wrapText="1"/>
    </xf>
    <xf numFmtId="168" fontId="3" fillId="0" borderId="0" xfId="1" applyNumberFormat="1" applyFont="1"/>
    <xf numFmtId="168" fontId="3" fillId="0" borderId="2" xfId="1" applyNumberFormat="1" applyFont="1" applyBorder="1" applyAlignment="1">
      <alignment horizontal="center" wrapText="1"/>
    </xf>
    <xf numFmtId="168" fontId="3" fillId="0" borderId="0" xfId="1" applyNumberFormat="1" applyFont="1" applyAlignment="1">
      <alignment horizontal="center" wrapText="1"/>
    </xf>
    <xf numFmtId="168" fontId="3" fillId="0" borderId="0" xfId="1" applyNumberFormat="1" applyFont="1" applyAlignment="1">
      <alignment wrapText="1"/>
    </xf>
    <xf numFmtId="0" fontId="2" fillId="0" borderId="0" xfId="0" applyFont="1" applyAlignment="1">
      <alignment horizontal="right"/>
    </xf>
    <xf numFmtId="43" fontId="2" fillId="0" borderId="0" xfId="1" applyFont="1" applyAlignment="1">
      <alignment horizontal="right"/>
    </xf>
    <xf numFmtId="168" fontId="3" fillId="0" borderId="0" xfId="0" applyNumberFormat="1" applyFont="1"/>
    <xf numFmtId="168" fontId="3" fillId="0" borderId="0" xfId="1" applyNumberFormat="1" applyFont="1" applyAlignment="1">
      <alignment horizontal="center"/>
    </xf>
    <xf numFmtId="168" fontId="0" fillId="0" borderId="0" xfId="1" applyNumberFormat="1" applyFont="1" applyAlignment="1">
      <alignment horizontal="center"/>
    </xf>
    <xf numFmtId="168" fontId="0" fillId="0" borderId="0" xfId="1" applyNumberFormat="1" applyFont="1"/>
    <xf numFmtId="0" fontId="8" fillId="0" borderId="0" xfId="0" applyFont="1" applyAlignment="1">
      <alignment wrapText="1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0" fontId="0" fillId="7" borderId="0" xfId="0" applyFill="1" applyAlignment="1">
      <alignment horizontal="center"/>
    </xf>
    <xf numFmtId="168" fontId="3" fillId="7" borderId="0" xfId="1" applyNumberFormat="1" applyFont="1" applyFill="1" applyAlignment="1">
      <alignment horizontal="center"/>
    </xf>
    <xf numFmtId="168" fontId="0" fillId="0" borderId="0" xfId="1" applyNumberFormat="1" applyFont="1" applyBorder="1" applyAlignment="1">
      <alignment horizontal="center"/>
    </xf>
    <xf numFmtId="0" fontId="0" fillId="0" borderId="0" xfId="0" applyBorder="1"/>
    <xf numFmtId="168" fontId="8" fillId="0" borderId="0" xfId="1" applyNumberFormat="1" applyFont="1" applyAlignment="1">
      <alignment horizontal="center"/>
    </xf>
    <xf numFmtId="2" fontId="8" fillId="0" borderId="0" xfId="0" applyNumberFormat="1" applyFont="1"/>
    <xf numFmtId="0" fontId="8" fillId="0" borderId="0" xfId="0" applyFont="1"/>
    <xf numFmtId="166" fontId="3" fillId="4" borderId="0" xfId="1" applyNumberFormat="1" applyFont="1" applyFill="1" applyBorder="1" applyAlignment="1">
      <alignment wrapText="1"/>
    </xf>
    <xf numFmtId="6" fontId="2" fillId="0" borderId="0" xfId="0" applyNumberFormat="1" applyFont="1" applyAlignment="1">
      <alignment horizontal="right"/>
    </xf>
    <xf numFmtId="43" fontId="8" fillId="0" borderId="0" xfId="1" applyFont="1" applyAlignment="1">
      <alignment horizontal="center"/>
    </xf>
    <xf numFmtId="43" fontId="8" fillId="0" borderId="0" xfId="1" applyFont="1"/>
    <xf numFmtId="2" fontId="2" fillId="0" borderId="0" xfId="0" applyNumberFormat="1" applyFont="1" applyAlignment="1">
      <alignment horizontal="right" wrapText="1"/>
    </xf>
    <xf numFmtId="2" fontId="8" fillId="7" borderId="0" xfId="0" applyNumberFormat="1" applyFont="1" applyFill="1" applyAlignment="1">
      <alignment horizontal="center"/>
    </xf>
    <xf numFmtId="2" fontId="8" fillId="0" borderId="0" xfId="0" applyNumberFormat="1" applyFont="1" applyAlignment="1">
      <alignment horizontal="center"/>
    </xf>
    <xf numFmtId="0" fontId="8" fillId="0" borderId="0" xfId="0" applyFont="1" applyBorder="1"/>
    <xf numFmtId="2" fontId="8" fillId="0" borderId="0" xfId="0" applyNumberFormat="1" applyFont="1" applyAlignment="1">
      <alignment horizontal="left"/>
    </xf>
    <xf numFmtId="168" fontId="8" fillId="0" borderId="0" xfId="1" applyNumberFormat="1" applyFont="1" applyBorder="1" applyAlignment="1">
      <alignment horizontal="center"/>
    </xf>
    <xf numFmtId="43" fontId="8" fillId="0" borderId="0" xfId="1" applyFont="1" applyAlignment="1">
      <alignment horizontal="right"/>
    </xf>
    <xf numFmtId="168" fontId="2" fillId="0" borderId="0" xfId="1" applyNumberFormat="1" applyFont="1" applyAlignment="1">
      <alignment horizontal="right" wrapText="1"/>
    </xf>
    <xf numFmtId="168" fontId="2" fillId="0" borderId="0" xfId="1" quotePrefix="1" applyNumberFormat="1" applyFont="1" applyAlignment="1">
      <alignment horizontal="right" wrapText="1"/>
    </xf>
    <xf numFmtId="43" fontId="8" fillId="0" borderId="0" xfId="1" applyFont="1" applyAlignment="1">
      <alignment horizontal="right" wrapText="1"/>
    </xf>
    <xf numFmtId="43" fontId="3" fillId="4" borderId="0" xfId="1" applyFont="1" applyFill="1" applyBorder="1" applyAlignment="1">
      <alignment horizontal="right"/>
    </xf>
    <xf numFmtId="43" fontId="4" fillId="0" borderId="0" xfId="1" applyFont="1" applyAlignment="1">
      <alignment horizontal="right"/>
    </xf>
    <xf numFmtId="43" fontId="0" fillId="0" borderId="0" xfId="1" applyFont="1" applyAlignment="1">
      <alignment horizontal="right"/>
    </xf>
    <xf numFmtId="43" fontId="0" fillId="0" borderId="0" xfId="1" applyFont="1" applyBorder="1" applyAlignment="1">
      <alignment horizontal="right"/>
    </xf>
    <xf numFmtId="168" fontId="8" fillId="0" borderId="0" xfId="1" applyNumberFormat="1" applyFont="1" applyAlignment="1">
      <alignment horizontal="center"/>
    </xf>
    <xf numFmtId="168" fontId="8" fillId="0" borderId="0" xfId="1" applyNumberFormat="1" applyFont="1" applyAlignment="1"/>
    <xf numFmtId="43" fontId="3" fillId="4" borderId="0" xfId="1" applyFont="1" applyFill="1"/>
    <xf numFmtId="168" fontId="4" fillId="0" borderId="0" xfId="1" applyNumberFormat="1" applyFont="1" applyAlignment="1">
      <alignment horizontal="center"/>
    </xf>
    <xf numFmtId="43" fontId="3" fillId="0" borderId="0" xfId="1" applyFont="1" applyFill="1" applyBorder="1" applyAlignment="1">
      <alignment horizontal="right"/>
    </xf>
    <xf numFmtId="43" fontId="2" fillId="0" borderId="0" xfId="1" applyFont="1" applyAlignment="1">
      <alignment horizontal="right" wrapText="1"/>
    </xf>
    <xf numFmtId="43" fontId="0" fillId="7" borderId="0" xfId="1" applyFont="1" applyFill="1" applyAlignment="1">
      <alignment horizontal="center"/>
    </xf>
    <xf numFmtId="43" fontId="0" fillId="0" borderId="0" xfId="1" applyFont="1" applyBorder="1"/>
    <xf numFmtId="0" fontId="8" fillId="0" borderId="0" xfId="0" applyFont="1" applyAlignment="1">
      <alignment horizontal="left"/>
    </xf>
    <xf numFmtId="0" fontId="3" fillId="7" borderId="0" xfId="0" applyFont="1" applyFill="1" applyAlignment="1">
      <alignment horizontal="left"/>
    </xf>
    <xf numFmtId="168" fontId="8" fillId="0" borderId="0" xfId="1" applyNumberFormat="1" applyFont="1" applyBorder="1" applyAlignment="1">
      <alignment horizontal="left"/>
    </xf>
    <xf numFmtId="0" fontId="0" fillId="0" borderId="0" xfId="0" applyAlignment="1">
      <alignment horizontal="left"/>
    </xf>
    <xf numFmtId="43" fontId="8" fillId="0" borderId="0" xfId="1" applyFont="1" applyAlignment="1">
      <alignment horizontal="left"/>
    </xf>
    <xf numFmtId="168" fontId="4" fillId="0" borderId="0" xfId="1" applyNumberFormat="1" applyFont="1" applyAlignment="1">
      <alignment horizontal="left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43" fontId="9" fillId="0" borderId="0" xfId="1" applyFont="1"/>
    <xf numFmtId="0" fontId="10" fillId="0" borderId="0" xfId="0" applyFont="1"/>
    <xf numFmtId="0" fontId="9" fillId="0" borderId="0" xfId="0" applyFont="1"/>
    <xf numFmtId="43" fontId="9" fillId="0" borderId="0" xfId="1" applyFont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K64"/>
  <sheetViews>
    <sheetView tabSelected="1" workbookViewId="0">
      <pane xSplit="1" ySplit="5" topLeftCell="B38" activePane="bottomRight" state="frozen"/>
      <selection pane="topRight" activeCell="B1" sqref="B1"/>
      <selection pane="bottomLeft" activeCell="A6" sqref="A6"/>
      <selection pane="bottomRight" activeCell="G26" sqref="G26"/>
    </sheetView>
  </sheetViews>
  <sheetFormatPr defaultColWidth="9.21875" defaultRowHeight="14.4" x14ac:dyDescent="0.3"/>
  <cols>
    <col min="1" max="1" width="27.33203125" style="2" customWidth="1"/>
    <col min="2" max="2" width="9.77734375" style="2" customWidth="1"/>
    <col min="3" max="4" width="13" style="2" customWidth="1"/>
    <col min="5" max="5" width="7.5546875" style="2" customWidth="1"/>
    <col min="6" max="6" width="11.109375" style="2" customWidth="1"/>
    <col min="7" max="10" width="11.77734375" style="2" customWidth="1"/>
    <col min="11" max="11" width="10.88671875" style="2" customWidth="1"/>
    <col min="12" max="12" width="9.21875" style="6"/>
    <col min="13" max="15" width="6.109375" style="31" customWidth="1"/>
    <col min="16" max="61" width="5.77734375" style="31" customWidth="1"/>
    <col min="62" max="62" width="12.21875" style="6" customWidth="1"/>
    <col min="63" max="63" width="9.6640625" style="6" customWidth="1"/>
    <col min="64" max="16384" width="9.21875" style="2"/>
  </cols>
  <sheetData>
    <row r="1" spans="1:63" x14ac:dyDescent="0.3">
      <c r="A1" s="1" t="s">
        <v>42</v>
      </c>
      <c r="B1" s="1"/>
    </row>
    <row r="2" spans="1:63" x14ac:dyDescent="0.3">
      <c r="A2" s="1"/>
      <c r="B2" s="1"/>
    </row>
    <row r="3" spans="1:63" x14ac:dyDescent="0.3">
      <c r="A3" s="1" t="s">
        <v>43</v>
      </c>
      <c r="B3" s="3">
        <v>14</v>
      </c>
    </row>
    <row r="4" spans="1:63" s="1" customFormat="1" ht="15.6" x14ac:dyDescent="0.35">
      <c r="C4" s="56" t="s">
        <v>65</v>
      </c>
      <c r="D4" s="74">
        <v>100000</v>
      </c>
      <c r="J4" s="56"/>
      <c r="L4" s="27"/>
      <c r="M4" s="44" t="s">
        <v>45</v>
      </c>
      <c r="N4" s="44"/>
      <c r="O4" s="45"/>
      <c r="P4" s="44" t="s">
        <v>46</v>
      </c>
      <c r="Q4" s="44"/>
      <c r="R4" s="44"/>
      <c r="S4" s="45"/>
      <c r="T4" s="44" t="s">
        <v>47</v>
      </c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 t="s">
        <v>48</v>
      </c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 t="s">
        <v>18</v>
      </c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29" t="s">
        <v>19</v>
      </c>
      <c r="BK4" s="9"/>
    </row>
    <row r="5" spans="1:63" s="55" customFormat="1" ht="57.6" x14ac:dyDescent="0.3">
      <c r="A5" s="49" t="s">
        <v>54</v>
      </c>
      <c r="B5" s="50" t="s">
        <v>21</v>
      </c>
      <c r="C5" s="50" t="s">
        <v>22</v>
      </c>
      <c r="D5" s="50" t="s">
        <v>23</v>
      </c>
      <c r="E5" s="50"/>
      <c r="F5" s="49" t="s">
        <v>55</v>
      </c>
      <c r="G5" s="50" t="s">
        <v>38</v>
      </c>
      <c r="H5" s="51" t="s">
        <v>39</v>
      </c>
      <c r="I5" s="51" t="s">
        <v>40</v>
      </c>
      <c r="J5" s="51" t="s">
        <v>41</v>
      </c>
      <c r="K5" s="52"/>
      <c r="L5" s="53" t="s">
        <v>17</v>
      </c>
      <c r="M5" s="54">
        <v>1</v>
      </c>
      <c r="N5" s="54">
        <v>2</v>
      </c>
      <c r="O5" s="53">
        <v>3</v>
      </c>
      <c r="P5" s="54">
        <v>1</v>
      </c>
      <c r="Q5" s="54">
        <v>2</v>
      </c>
      <c r="R5" s="54">
        <v>3</v>
      </c>
      <c r="S5" s="53">
        <v>4</v>
      </c>
      <c r="T5" s="54">
        <v>1</v>
      </c>
      <c r="U5" s="54">
        <v>2</v>
      </c>
      <c r="V5" s="54">
        <v>3</v>
      </c>
      <c r="W5" s="54">
        <v>4</v>
      </c>
      <c r="X5" s="54">
        <v>5</v>
      </c>
      <c r="Y5" s="54">
        <v>6</v>
      </c>
      <c r="Z5" s="54">
        <v>7</v>
      </c>
      <c r="AA5" s="54">
        <v>8</v>
      </c>
      <c r="AB5" s="54">
        <v>9</v>
      </c>
      <c r="AC5" s="54">
        <v>10</v>
      </c>
      <c r="AD5" s="54">
        <v>11</v>
      </c>
      <c r="AE5" s="54">
        <v>12</v>
      </c>
      <c r="AF5" s="54">
        <v>13</v>
      </c>
      <c r="AG5" s="54">
        <v>14</v>
      </c>
      <c r="AH5" s="54">
        <v>1</v>
      </c>
      <c r="AI5" s="54">
        <v>2</v>
      </c>
      <c r="AJ5" s="54">
        <v>3</v>
      </c>
      <c r="AK5" s="54">
        <v>4</v>
      </c>
      <c r="AL5" s="54">
        <v>5</v>
      </c>
      <c r="AM5" s="54">
        <v>6</v>
      </c>
      <c r="AN5" s="54">
        <v>7</v>
      </c>
      <c r="AO5" s="54">
        <v>8</v>
      </c>
      <c r="AP5" s="54">
        <v>9</v>
      </c>
      <c r="AQ5" s="54">
        <v>10</v>
      </c>
      <c r="AR5" s="54">
        <v>11</v>
      </c>
      <c r="AS5" s="54">
        <v>12</v>
      </c>
      <c r="AT5" s="54">
        <v>13</v>
      </c>
      <c r="AU5" s="54">
        <v>14</v>
      </c>
      <c r="AV5" s="54">
        <v>1</v>
      </c>
      <c r="AW5" s="54">
        <v>2</v>
      </c>
      <c r="AX5" s="54">
        <v>3</v>
      </c>
      <c r="AY5" s="54">
        <v>4</v>
      </c>
      <c r="AZ5" s="54">
        <v>5</v>
      </c>
      <c r="BA5" s="54">
        <v>6</v>
      </c>
      <c r="BB5" s="54">
        <v>7</v>
      </c>
      <c r="BC5" s="54">
        <v>8</v>
      </c>
      <c r="BD5" s="54">
        <v>9</v>
      </c>
      <c r="BE5" s="54">
        <v>10</v>
      </c>
      <c r="BF5" s="54">
        <v>11</v>
      </c>
      <c r="BG5" s="54">
        <v>12</v>
      </c>
      <c r="BH5" s="54">
        <v>13</v>
      </c>
      <c r="BI5" s="54">
        <v>14</v>
      </c>
      <c r="BJ5" s="54"/>
      <c r="BK5" s="54"/>
    </row>
    <row r="6" spans="1:63" x14ac:dyDescent="0.3">
      <c r="A6" s="2" t="s">
        <v>24</v>
      </c>
      <c r="B6" s="38">
        <f>B51/$D$4</f>
        <v>9.3329999999999996E-2</v>
      </c>
      <c r="C6" s="38">
        <f t="shared" ref="C6:D6" si="0">C51/$D$4</f>
        <v>0.10725</v>
      </c>
      <c r="D6" s="38">
        <f t="shared" si="0"/>
        <v>0.29166999999999998</v>
      </c>
      <c r="F6" s="2" t="s">
        <v>24</v>
      </c>
      <c r="G6" s="38">
        <f>G51/$D$4</f>
        <v>0.96799999999999997</v>
      </c>
      <c r="H6" s="38">
        <f t="shared" ref="H6:J6" si="1">H51/$D$4</f>
        <v>41.390999999999998</v>
      </c>
      <c r="I6" s="38">
        <f t="shared" si="1"/>
        <v>1.7958000000000001</v>
      </c>
      <c r="J6" s="38">
        <f t="shared" si="1"/>
        <v>29.514299999999999</v>
      </c>
      <c r="K6" s="23"/>
      <c r="L6" s="25">
        <v>1</v>
      </c>
      <c r="M6" s="46">
        <v>0</v>
      </c>
      <c r="N6" s="46">
        <v>0</v>
      </c>
      <c r="O6" s="46">
        <v>3.4285322453457669</v>
      </c>
      <c r="P6" s="46">
        <v>0</v>
      </c>
      <c r="Q6" s="46">
        <v>2.3294402833062073E-2</v>
      </c>
      <c r="R6" s="46">
        <v>0</v>
      </c>
      <c r="S6" s="46">
        <v>1.2136954742862889E-3</v>
      </c>
      <c r="T6" s="47">
        <v>0.99999999999999978</v>
      </c>
      <c r="U6" s="47">
        <v>0.43312647855453074</v>
      </c>
      <c r="V6" s="47">
        <v>0.34055610793019503</v>
      </c>
      <c r="W6" s="47">
        <v>0.30627078547673736</v>
      </c>
      <c r="X6" s="47">
        <v>0.22398601158843895</v>
      </c>
      <c r="Y6" s="47">
        <v>0.21599753145678333</v>
      </c>
      <c r="Z6" s="47">
        <v>0.23314019268351216</v>
      </c>
      <c r="AA6" s="47">
        <v>0.24455720506051357</v>
      </c>
      <c r="AB6" s="47">
        <v>0.2399972571742037</v>
      </c>
      <c r="AC6" s="47">
        <v>0.21712894709774741</v>
      </c>
      <c r="AD6" s="47">
        <v>0.24798573730585935</v>
      </c>
      <c r="AE6" s="47">
        <v>0.29485377309973593</v>
      </c>
      <c r="AF6" s="47">
        <v>0.22172318030651075</v>
      </c>
      <c r="AG6" s="47">
        <v>0.3748414303836527</v>
      </c>
      <c r="AH6" s="47">
        <v>1</v>
      </c>
      <c r="AI6" s="47">
        <v>0.43312647855453068</v>
      </c>
      <c r="AJ6" s="47">
        <v>0.28999396687905193</v>
      </c>
      <c r="AK6" s="47">
        <v>0.23011222926800556</v>
      </c>
      <c r="AL6" s="47">
        <v>9.9374558423421938E-2</v>
      </c>
      <c r="AM6" s="47">
        <v>0.18775162960206127</v>
      </c>
      <c r="AN6" s="47">
        <v>0.13033158676940901</v>
      </c>
      <c r="AO6" s="47">
        <v>0.17758855644421287</v>
      </c>
      <c r="AP6" s="47">
        <v>0.17493244186326531</v>
      </c>
      <c r="AQ6" s="47">
        <v>0.12149182066458969</v>
      </c>
      <c r="AR6" s="47">
        <v>0.13962160457717748</v>
      </c>
      <c r="AS6" s="47">
        <v>0.14698580524976043</v>
      </c>
      <c r="AT6" s="47">
        <v>8.0805481819884104E-2</v>
      </c>
      <c r="AU6" s="47">
        <v>0.20232081042247518</v>
      </c>
      <c r="AV6" s="47">
        <f>AH6/T6</f>
        <v>1.0000000000000002</v>
      </c>
      <c r="AW6" s="47">
        <f t="shared" ref="AW6:BI6" si="2">AI6/U6</f>
        <v>0.99999999999999989</v>
      </c>
      <c r="AX6" s="47">
        <f t="shared" si="2"/>
        <v>0.85153065860880994</v>
      </c>
      <c r="AY6" s="47">
        <f t="shared" si="2"/>
        <v>0.75133587720361794</v>
      </c>
      <c r="AZ6" s="47">
        <f t="shared" si="2"/>
        <v>0.44366412758854251</v>
      </c>
      <c r="BA6" s="47">
        <f t="shared" si="2"/>
        <v>0.86923044136560657</v>
      </c>
      <c r="BB6" s="47">
        <f t="shared" si="2"/>
        <v>0.5590266751916696</v>
      </c>
      <c r="BC6" s="47">
        <f t="shared" si="2"/>
        <v>0.72616366547152078</v>
      </c>
      <c r="BD6" s="47">
        <f t="shared" si="2"/>
        <v>0.72889350454655144</v>
      </c>
      <c r="BE6" s="47">
        <f t="shared" si="2"/>
        <v>0.55953764934850592</v>
      </c>
      <c r="BF6" s="47">
        <f t="shared" si="2"/>
        <v>0.56302272095984185</v>
      </c>
      <c r="BG6" s="47">
        <f t="shared" si="2"/>
        <v>0.49850406764183297</v>
      </c>
      <c r="BH6" s="47">
        <f t="shared" si="2"/>
        <v>0.36444309389833923</v>
      </c>
      <c r="BI6" s="47">
        <f t="shared" si="2"/>
        <v>0.53975039582843998</v>
      </c>
      <c r="BJ6" s="34">
        <f ca="1">OFFSET(AU$5,L6,L6)</f>
        <v>1.0000000000000002</v>
      </c>
      <c r="BK6" s="6" t="str">
        <f ca="1">IF(BJ6=1, "Yes", "No")</f>
        <v>Yes</v>
      </c>
    </row>
    <row r="7" spans="1:63" x14ac:dyDescent="0.3">
      <c r="A7" s="2" t="s">
        <v>25</v>
      </c>
      <c r="B7" s="38">
        <f t="shared" ref="B7:D7" si="3">B52/$D$4</f>
        <v>3.2530000000000003E-2</v>
      </c>
      <c r="C7" s="38">
        <f t="shared" si="3"/>
        <v>4.3499999999999997E-2</v>
      </c>
      <c r="D7" s="38">
        <f t="shared" si="3"/>
        <v>0.12633</v>
      </c>
      <c r="F7" s="2" t="s">
        <v>25</v>
      </c>
      <c r="G7" s="38">
        <f t="shared" ref="G7:J7" si="4">G52/$D$4</f>
        <v>0.76800000000000002</v>
      </c>
      <c r="H7" s="38">
        <f t="shared" si="4"/>
        <v>16.855</v>
      </c>
      <c r="I7" s="38">
        <f t="shared" si="4"/>
        <v>4.1933999999999996</v>
      </c>
      <c r="J7" s="38">
        <f t="shared" si="4"/>
        <v>33.368600000000001</v>
      </c>
      <c r="K7" s="23"/>
      <c r="L7" s="25">
        <v>2</v>
      </c>
      <c r="M7" s="46">
        <v>2.1816592797044416</v>
      </c>
      <c r="N7" s="46">
        <v>0</v>
      </c>
      <c r="O7" s="46">
        <v>7.3539984455886556</v>
      </c>
      <c r="P7" s="46">
        <v>0</v>
      </c>
      <c r="Q7" s="46">
        <v>3.844472891015898E-2</v>
      </c>
      <c r="R7" s="46">
        <v>0</v>
      </c>
      <c r="S7" s="46">
        <v>1.0549261707691375E-2</v>
      </c>
      <c r="T7" s="47">
        <v>2.3485549871996585</v>
      </c>
      <c r="U7" s="47">
        <v>1.0000000000000002</v>
      </c>
      <c r="V7" s="47">
        <v>0.7837051520251096</v>
      </c>
      <c r="W7" s="47">
        <v>0.72543678252715416</v>
      </c>
      <c r="X7" s="47">
        <v>0.52784417459828437</v>
      </c>
      <c r="Y7" s="47">
        <v>0.53719470187567475</v>
      </c>
      <c r="Z7" s="47">
        <v>0.55941302670798942</v>
      </c>
      <c r="AA7" s="47">
        <v>0.57096460200315224</v>
      </c>
      <c r="AB7" s="47">
        <v>0.56772876190963273</v>
      </c>
      <c r="AC7" s="47">
        <v>0.50310054502046664</v>
      </c>
      <c r="AD7" s="47">
        <v>0.59664453839825826</v>
      </c>
      <c r="AE7" s="47">
        <v>0.69396665800828961</v>
      </c>
      <c r="AF7" s="47">
        <v>0.53464059617781767</v>
      </c>
      <c r="AG7" s="47">
        <v>0.914688225315614</v>
      </c>
      <c r="AH7" s="47">
        <v>1.9026198491397057</v>
      </c>
      <c r="AI7" s="47">
        <v>1</v>
      </c>
      <c r="AJ7" s="47">
        <v>0.78370515202510926</v>
      </c>
      <c r="AK7" s="47">
        <v>0.55765000458897251</v>
      </c>
      <c r="AL7" s="47">
        <v>0.25537365644470816</v>
      </c>
      <c r="AM7" s="47">
        <v>0.53719470187567475</v>
      </c>
      <c r="AN7" s="47">
        <v>0.36895018642732436</v>
      </c>
      <c r="AO7" s="47">
        <v>0.48937338605082265</v>
      </c>
      <c r="AP7" s="47">
        <v>0.45808549171434737</v>
      </c>
      <c r="AQ7" s="47">
        <v>0.39578116954860088</v>
      </c>
      <c r="AR7" s="47">
        <v>0.42230517641901055</v>
      </c>
      <c r="AS7" s="47">
        <v>0.43940206185904479</v>
      </c>
      <c r="AT7" s="47">
        <v>0.2309363464353632</v>
      </c>
      <c r="AU7" s="47">
        <v>0.61921258493336229</v>
      </c>
      <c r="AV7" s="47">
        <f t="shared" ref="AV7:AV19" si="5">AH7/T7</f>
        <v>0.81012361196972804</v>
      </c>
      <c r="AW7" s="47">
        <f t="shared" ref="AW7:AW19" si="6">AI7/U7</f>
        <v>0.99999999999999978</v>
      </c>
      <c r="AX7" s="47">
        <f t="shared" ref="AX7:AX19" si="7">AJ7/V7</f>
        <v>0.99999999999999956</v>
      </c>
      <c r="AY7" s="47">
        <f t="shared" ref="AY7:AY19" si="8">AK7/W7</f>
        <v>0.76870930454660102</v>
      </c>
      <c r="AZ7" s="47">
        <f t="shared" ref="AZ7:AZ19" si="9">AL7/X7</f>
        <v>0.48380501052050107</v>
      </c>
      <c r="BA7" s="47">
        <f t="shared" ref="BA7:BA19" si="10">AM7/Y7</f>
        <v>1</v>
      </c>
      <c r="BB7" s="47">
        <f t="shared" ref="BB7:BB19" si="11">AN7/Z7</f>
        <v>0.65953091689427956</v>
      </c>
      <c r="BC7" s="47">
        <f t="shared" ref="BC7:BC19" si="12">AO7/AA7</f>
        <v>0.85709934439704694</v>
      </c>
      <c r="BD7" s="47">
        <f t="shared" ref="BD7:BD19" si="13">AP7/AB7</f>
        <v>0.80687384971216658</v>
      </c>
      <c r="BE7" s="47">
        <f t="shared" ref="BE7:BE19" si="14">AQ7/AC7</f>
        <v>0.78668404052812169</v>
      </c>
      <c r="BF7" s="47">
        <f t="shared" ref="BF7:BF19" si="15">AR7/AD7</f>
        <v>0.70780028851470567</v>
      </c>
      <c r="BG7" s="47">
        <f t="shared" ref="BG7:BG19" si="16">AS7/AE7</f>
        <v>0.63317460109704005</v>
      </c>
      <c r="BH7" s="47">
        <f t="shared" ref="BH7:BH19" si="17">AT7/AF7</f>
        <v>0.43194689682441439</v>
      </c>
      <c r="BI7" s="47">
        <f t="shared" ref="BI7:BI19" si="18">AU7/AG7</f>
        <v>0.67696573301761087</v>
      </c>
      <c r="BJ7" s="34">
        <f t="shared" ref="BJ7:BJ19" ca="1" si="19">OFFSET(AU$5,L7,L7)</f>
        <v>0.99999999999999978</v>
      </c>
      <c r="BK7" s="6" t="str">
        <f t="shared" ref="BK7:BK19" ca="1" si="20">IF(BJ7=1, "Yes", "No")</f>
        <v>Yes</v>
      </c>
    </row>
    <row r="8" spans="1:63" x14ac:dyDescent="0.3">
      <c r="A8" s="2" t="s">
        <v>26</v>
      </c>
      <c r="B8" s="38">
        <f t="shared" ref="B8:D8" si="21">B53/$D$4</f>
        <v>2.4400000000000002E-2</v>
      </c>
      <c r="C8" s="38">
        <f t="shared" si="21"/>
        <v>3.5499999999999997E-2</v>
      </c>
      <c r="D8" s="38">
        <f t="shared" si="21"/>
        <v>9.9330000000000002E-2</v>
      </c>
      <c r="F8" s="2" t="s">
        <v>26</v>
      </c>
      <c r="G8" s="38">
        <f t="shared" ref="G8:J8" si="22">G53/$D$4</f>
        <v>0.41799999999999998</v>
      </c>
      <c r="H8" s="38">
        <f t="shared" si="22"/>
        <v>10.589</v>
      </c>
      <c r="I8" s="38">
        <f t="shared" si="22"/>
        <v>1.9716</v>
      </c>
      <c r="J8" s="38">
        <f t="shared" si="22"/>
        <v>35.700499999999998</v>
      </c>
      <c r="K8" s="23"/>
      <c r="L8" s="25">
        <v>3</v>
      </c>
      <c r="M8" s="46">
        <v>2.7837755998757863</v>
      </c>
      <c r="N8" s="46">
        <v>0</v>
      </c>
      <c r="O8" s="46">
        <v>9.3836290683885171</v>
      </c>
      <c r="P8" s="46">
        <v>0</v>
      </c>
      <c r="Q8" s="46">
        <v>4.9055092735854892E-2</v>
      </c>
      <c r="R8" s="46">
        <v>0</v>
      </c>
      <c r="S8" s="46">
        <v>1.346075329533292E-2</v>
      </c>
      <c r="T8" s="47">
        <v>2.9967328671132853</v>
      </c>
      <c r="U8" s="47">
        <v>1.2759900804734807</v>
      </c>
      <c r="V8" s="47">
        <v>1.0000000000000007</v>
      </c>
      <c r="W8" s="47">
        <v>0.92565013851524591</v>
      </c>
      <c r="X8" s="47">
        <v>0.67352393082312256</v>
      </c>
      <c r="Y8" s="47">
        <v>0.68545511087626954</v>
      </c>
      <c r="Z8" s="47">
        <v>0.71380547296704067</v>
      </c>
      <c r="AA8" s="47">
        <v>0.72854516845751094</v>
      </c>
      <c r="AB8" s="47">
        <v>0.72441626859618158</v>
      </c>
      <c r="AC8" s="47">
        <v>0.64195130492691699</v>
      </c>
      <c r="AD8" s="47">
        <v>0.7613125125648561</v>
      </c>
      <c r="AE8" s="47">
        <v>0.88549457179790958</v>
      </c>
      <c r="AF8" s="47">
        <v>0.68219609734132303</v>
      </c>
      <c r="AG8" s="47">
        <v>1.1671331022286151</v>
      </c>
      <c r="AH8" s="47">
        <v>2.427724054414214</v>
      </c>
      <c r="AI8" s="47">
        <v>1.2759900804734803</v>
      </c>
      <c r="AJ8" s="47">
        <v>1.0000000000000004</v>
      </c>
      <c r="AK8" s="47">
        <v>0.71155587423151978</v>
      </c>
      <c r="AL8" s="47">
        <v>0.32585425243769006</v>
      </c>
      <c r="AM8" s="47">
        <v>0.68545511087626942</v>
      </c>
      <c r="AN8" s="47">
        <v>0.47077677807010715</v>
      </c>
      <c r="AO8" s="47">
        <v>0.62443558624856865</v>
      </c>
      <c r="AP8" s="47">
        <v>0.58451254343632386</v>
      </c>
      <c r="AQ8" s="47">
        <v>0.50501284638220745</v>
      </c>
      <c r="AR8" s="47">
        <v>0.53885721604326053</v>
      </c>
      <c r="AS8" s="47">
        <v>0.56067267227173567</v>
      </c>
      <c r="AT8" s="47">
        <v>0.2946724872723106</v>
      </c>
      <c r="AU8" s="47">
        <v>0.79010911607931278</v>
      </c>
      <c r="AV8" s="47">
        <f t="shared" si="5"/>
        <v>0.81012361196972815</v>
      </c>
      <c r="AW8" s="47">
        <f t="shared" si="6"/>
        <v>0.99999999999999967</v>
      </c>
      <c r="AX8" s="47">
        <f t="shared" si="7"/>
        <v>0.99999999999999978</v>
      </c>
      <c r="AY8" s="47">
        <f t="shared" si="8"/>
        <v>0.76870930454660125</v>
      </c>
      <c r="AZ8" s="47">
        <f t="shared" si="9"/>
        <v>0.48380501052050107</v>
      </c>
      <c r="BA8" s="47">
        <f t="shared" si="10"/>
        <v>0.99999999999999989</v>
      </c>
      <c r="BB8" s="47">
        <f t="shared" si="11"/>
        <v>0.65953091689427945</v>
      </c>
      <c r="BC8" s="47">
        <f t="shared" si="12"/>
        <v>0.85709934439704683</v>
      </c>
      <c r="BD8" s="47">
        <f t="shared" si="13"/>
        <v>0.80687384971216647</v>
      </c>
      <c r="BE8" s="47">
        <f t="shared" si="14"/>
        <v>0.7866840405281218</v>
      </c>
      <c r="BF8" s="47">
        <f t="shared" si="15"/>
        <v>0.70780028851470556</v>
      </c>
      <c r="BG8" s="47">
        <f t="shared" si="16"/>
        <v>0.63317460109704005</v>
      </c>
      <c r="BH8" s="47">
        <f t="shared" si="17"/>
        <v>0.43194689682441439</v>
      </c>
      <c r="BI8" s="47">
        <f t="shared" si="18"/>
        <v>0.67696573301761098</v>
      </c>
      <c r="BJ8" s="34">
        <f t="shared" ca="1" si="19"/>
        <v>0.99999999999999978</v>
      </c>
      <c r="BK8" s="6" t="str">
        <f t="shared" ca="1" si="20"/>
        <v>Yes</v>
      </c>
    </row>
    <row r="9" spans="1:63" x14ac:dyDescent="0.3">
      <c r="A9" s="2" t="s">
        <v>27</v>
      </c>
      <c r="B9" s="38">
        <f t="shared" ref="B9:D9" si="23">B54/$D$4</f>
        <v>3.1399999999999997E-2</v>
      </c>
      <c r="C9" s="38">
        <f t="shared" si="23"/>
        <v>2.325E-2</v>
      </c>
      <c r="D9" s="38">
        <f t="shared" si="23"/>
        <v>8.9330000000000007E-2</v>
      </c>
      <c r="F9" s="2" t="s">
        <v>27</v>
      </c>
      <c r="G9" s="38">
        <f t="shared" ref="G9:J9" si="24">G54/$D$4</f>
        <v>0.314</v>
      </c>
      <c r="H9" s="38">
        <f t="shared" si="24"/>
        <v>8.7940000000000005</v>
      </c>
      <c r="I9" s="38">
        <f t="shared" si="24"/>
        <v>0.82020000000000004</v>
      </c>
      <c r="J9" s="38">
        <f t="shared" si="24"/>
        <v>20.813500000000001</v>
      </c>
      <c r="K9" s="23"/>
      <c r="L9" s="25">
        <v>4</v>
      </c>
      <c r="M9" s="46">
        <v>0</v>
      </c>
      <c r="N9" s="46">
        <v>40.37243236426356</v>
      </c>
      <c r="O9" s="46">
        <v>0.68667802004783063</v>
      </c>
      <c r="P9" s="46">
        <v>0</v>
      </c>
      <c r="Q9" s="46">
        <v>8.6975479022141464E-2</v>
      </c>
      <c r="R9" s="46">
        <v>0</v>
      </c>
      <c r="S9" s="46">
        <v>1.1297361687332136E-2</v>
      </c>
      <c r="T9" s="47">
        <v>4.5302267491746173</v>
      </c>
      <c r="U9" s="47">
        <v>1.8429488421181071</v>
      </c>
      <c r="V9" s="47">
        <v>1.5014290766627074</v>
      </c>
      <c r="W9" s="47">
        <v>1.0000000000000004</v>
      </c>
      <c r="X9" s="47">
        <v>0.50914364723875571</v>
      </c>
      <c r="Y9" s="47">
        <v>0.88098868682148224</v>
      </c>
      <c r="Z9" s="47">
        <v>0.80367721219319421</v>
      </c>
      <c r="AA9" s="47">
        <v>0.97754668754807361</v>
      </c>
      <c r="AB9" s="47">
        <v>0.8151436763243558</v>
      </c>
      <c r="AC9" s="47">
        <v>0.84084285820383442</v>
      </c>
      <c r="AD9" s="47">
        <v>0.92776782511279199</v>
      </c>
      <c r="AE9" s="47">
        <v>0.95734092982897756</v>
      </c>
      <c r="AF9" s="47">
        <v>0.59952841256511713</v>
      </c>
      <c r="AG9" s="47">
        <v>1.2761543707686702</v>
      </c>
      <c r="AH9" s="47">
        <v>3.9334357742538839</v>
      </c>
      <c r="AI9" s="47">
        <v>1.8429488421181055</v>
      </c>
      <c r="AJ9" s="47">
        <v>1.3243048082840567</v>
      </c>
      <c r="AK9" s="47">
        <v>0.99999999999999944</v>
      </c>
      <c r="AL9" s="47">
        <v>0.44337214549239057</v>
      </c>
      <c r="AM9" s="47">
        <v>0.88098868682148201</v>
      </c>
      <c r="AN9" s="47">
        <v>0.60842555958230959</v>
      </c>
      <c r="AO9" s="47">
        <v>0.81846242849293538</v>
      </c>
      <c r="AP9" s="47">
        <v>0.78724597811615205</v>
      </c>
      <c r="AQ9" s="47">
        <v>0.6082108499941401</v>
      </c>
      <c r="AR9" s="47">
        <v>0.67321355646211667</v>
      </c>
      <c r="AS9" s="47">
        <v>0.70462293746240201</v>
      </c>
      <c r="AT9" s="47">
        <v>0.3789551537747492</v>
      </c>
      <c r="AU9" s="47">
        <v>0.9812816701215219</v>
      </c>
      <c r="AV9" s="47">
        <f t="shared" si="5"/>
        <v>0.86826465694471799</v>
      </c>
      <c r="AW9" s="47">
        <f t="shared" si="6"/>
        <v>0.99999999999999911</v>
      </c>
      <c r="AX9" s="47">
        <f t="shared" si="7"/>
        <v>0.88202954696178348</v>
      </c>
      <c r="AY9" s="47">
        <f t="shared" si="8"/>
        <v>0.999999999999999</v>
      </c>
      <c r="AZ9" s="47">
        <f t="shared" si="9"/>
        <v>0.87081936089536927</v>
      </c>
      <c r="BA9" s="47">
        <f t="shared" si="10"/>
        <v>0.99999999999999978</v>
      </c>
      <c r="BB9" s="47">
        <f t="shared" si="11"/>
        <v>0.75705214774218521</v>
      </c>
      <c r="BC9" s="47">
        <f t="shared" si="12"/>
        <v>0.83726172766831164</v>
      </c>
      <c r="BD9" s="47">
        <f t="shared" si="13"/>
        <v>0.9657757288457417</v>
      </c>
      <c r="BE9" s="47">
        <f t="shared" si="14"/>
        <v>0.72333473973171281</v>
      </c>
      <c r="BF9" s="47">
        <f t="shared" si="15"/>
        <v>0.72562718628474931</v>
      </c>
      <c r="BG9" s="47">
        <f t="shared" si="16"/>
        <v>0.73602090489150829</v>
      </c>
      <c r="BH9" s="47">
        <f t="shared" si="17"/>
        <v>0.6320887314637309</v>
      </c>
      <c r="BI9" s="47">
        <f t="shared" si="18"/>
        <v>0.76893649592757596</v>
      </c>
      <c r="BJ9" s="34">
        <f t="shared" ca="1" si="19"/>
        <v>0.999999999999999</v>
      </c>
      <c r="BK9" s="6" t="str">
        <f t="shared" ca="1" si="20"/>
        <v>No</v>
      </c>
    </row>
    <row r="10" spans="1:63" x14ac:dyDescent="0.3">
      <c r="A10" s="2" t="s">
        <v>28</v>
      </c>
      <c r="B10" s="38">
        <f t="shared" ref="B10:D10" si="25">B55/$D$4</f>
        <v>2.1729999999999999E-2</v>
      </c>
      <c r="C10" s="38">
        <f t="shared" si="25"/>
        <v>1.15E-2</v>
      </c>
      <c r="D10" s="38">
        <f t="shared" si="25"/>
        <v>6.5329999999999999E-2</v>
      </c>
      <c r="F10" s="2" t="s">
        <v>28</v>
      </c>
      <c r="G10" s="38">
        <f t="shared" ref="G10:J10" si="26">G55/$D$4</f>
        <v>9.1999999999999998E-2</v>
      </c>
      <c r="H10" s="38">
        <f t="shared" si="26"/>
        <v>3.7090000000000001</v>
      </c>
      <c r="I10" s="38">
        <f t="shared" si="26"/>
        <v>0.56759999999999999</v>
      </c>
      <c r="J10" s="38">
        <f t="shared" si="26"/>
        <v>10.691000000000001</v>
      </c>
      <c r="K10" s="23"/>
      <c r="L10" s="25">
        <v>5</v>
      </c>
      <c r="M10" s="46">
        <v>0</v>
      </c>
      <c r="N10" s="46">
        <v>86.956521739130551</v>
      </c>
      <c r="O10" s="46">
        <v>0</v>
      </c>
      <c r="P10" s="46">
        <v>0</v>
      </c>
      <c r="Q10" s="46">
        <v>0.17072464457594874</v>
      </c>
      <c r="R10" s="46">
        <v>2.4579664817437209E-2</v>
      </c>
      <c r="S10" s="46">
        <v>2.4033745643482738E-2</v>
      </c>
      <c r="T10" s="47">
        <v>9.3260869565217508</v>
      </c>
      <c r="U10" s="47">
        <v>3.7826086956521787</v>
      </c>
      <c r="V10" s="47">
        <v>3.0869565217391344</v>
      </c>
      <c r="W10" s="47">
        <v>2.0217391304347854</v>
      </c>
      <c r="X10" s="47">
        <v>1.0000000000000013</v>
      </c>
      <c r="Y10" s="47">
        <v>1.804347826086959</v>
      </c>
      <c r="Z10" s="47">
        <v>1.6304347826086978</v>
      </c>
      <c r="AA10" s="47">
        <v>2.0000000000000027</v>
      </c>
      <c r="AB10" s="47">
        <v>1.6521739130434805</v>
      </c>
      <c r="AC10" s="47">
        <v>1.7173913043478284</v>
      </c>
      <c r="AD10" s="47">
        <v>1.8913043478260894</v>
      </c>
      <c r="AE10" s="47">
        <v>1.9347826086956548</v>
      </c>
      <c r="AF10" s="47">
        <v>1.195652173913045</v>
      </c>
      <c r="AG10" s="47">
        <v>2.5869565217391339</v>
      </c>
      <c r="AH10" s="47">
        <v>7.8199431047676908</v>
      </c>
      <c r="AI10" s="47">
        <v>3.7826086956521752</v>
      </c>
      <c r="AJ10" s="47">
        <v>2.7142812649139358</v>
      </c>
      <c r="AK10" s="47">
        <v>2.0217391304347831</v>
      </c>
      <c r="AL10" s="47">
        <v>0.90411389915704521</v>
      </c>
      <c r="AM10" s="47">
        <v>1.8043478260869585</v>
      </c>
      <c r="AN10" s="47">
        <v>1.2426569482141392</v>
      </c>
      <c r="AO10" s="47">
        <v>1.6811541771807084</v>
      </c>
      <c r="AP10" s="47">
        <v>1.6059774765550654</v>
      </c>
      <c r="AQ10" s="47">
        <v>1.2363308997995857</v>
      </c>
      <c r="AR10" s="47">
        <v>1.399539801187474</v>
      </c>
      <c r="AS10" s="47">
        <v>1.4457727549574035</v>
      </c>
      <c r="AT10" s="47">
        <v>0.79083232405737858</v>
      </c>
      <c r="AU10" s="47">
        <v>2.0377166510861757</v>
      </c>
      <c r="AV10" s="47">
        <f t="shared" si="5"/>
        <v>0.83850205785387721</v>
      </c>
      <c r="AW10" s="47">
        <f t="shared" si="6"/>
        <v>0.99999999999999911</v>
      </c>
      <c r="AX10" s="47">
        <f t="shared" si="7"/>
        <v>0.87927421257775273</v>
      </c>
      <c r="AY10" s="47">
        <f t="shared" si="8"/>
        <v>0.99999999999999889</v>
      </c>
      <c r="AZ10" s="47">
        <f t="shared" si="9"/>
        <v>0.90411389915704399</v>
      </c>
      <c r="BA10" s="47">
        <f t="shared" si="10"/>
        <v>0.99999999999999978</v>
      </c>
      <c r="BB10" s="47">
        <f t="shared" si="11"/>
        <v>0.76216292823800436</v>
      </c>
      <c r="BC10" s="47">
        <f t="shared" si="12"/>
        <v>0.84057708859035307</v>
      </c>
      <c r="BD10" s="47">
        <f t="shared" si="13"/>
        <v>0.97203899896753831</v>
      </c>
      <c r="BE10" s="47">
        <f t="shared" si="14"/>
        <v>0.7198888783643147</v>
      </c>
      <c r="BF10" s="47">
        <f t="shared" si="15"/>
        <v>0.73998656154739906</v>
      </c>
      <c r="BG10" s="47">
        <f t="shared" si="16"/>
        <v>0.74725333402292671</v>
      </c>
      <c r="BH10" s="47">
        <f t="shared" si="17"/>
        <v>0.66142339830253394</v>
      </c>
      <c r="BI10" s="47">
        <f t="shared" si="18"/>
        <v>0.78768878949549548</v>
      </c>
      <c r="BJ10" s="34">
        <f t="shared" ca="1" si="19"/>
        <v>0.90411389915704399</v>
      </c>
      <c r="BK10" s="6" t="str">
        <f t="shared" ca="1" si="20"/>
        <v>No</v>
      </c>
    </row>
    <row r="11" spans="1:63" x14ac:dyDescent="0.3">
      <c r="A11" s="2" t="s">
        <v>29</v>
      </c>
      <c r="B11" s="38">
        <f t="shared" ref="B11:D11" si="27">B56/$D$4</f>
        <v>3.3869999999999997E-2</v>
      </c>
      <c r="C11" s="38">
        <f t="shared" si="27"/>
        <v>2.0750000000000001E-2</v>
      </c>
      <c r="D11" s="38">
        <f t="shared" si="27"/>
        <v>6.3E-2</v>
      </c>
      <c r="F11" s="2" t="s">
        <v>29</v>
      </c>
      <c r="G11" s="38">
        <f t="shared" ref="G11:J11" si="28">G56/$D$4</f>
        <v>0.54400000000000004</v>
      </c>
      <c r="H11" s="38">
        <f t="shared" si="28"/>
        <v>6.6740000000000004</v>
      </c>
      <c r="I11" s="38">
        <f t="shared" si="28"/>
        <v>1.0425</v>
      </c>
      <c r="J11" s="38">
        <f t="shared" si="28"/>
        <v>26.6004</v>
      </c>
      <c r="K11" s="23"/>
      <c r="L11" s="25">
        <v>6</v>
      </c>
      <c r="M11" s="46">
        <v>4.0612077373193323</v>
      </c>
      <c r="N11" s="46">
        <v>0</v>
      </c>
      <c r="O11" s="46">
        <v>13.689633237095148</v>
      </c>
      <c r="P11" s="46">
        <v>0</v>
      </c>
      <c r="Q11" s="46">
        <v>7.1565726124857468E-2</v>
      </c>
      <c r="R11" s="46">
        <v>0</v>
      </c>
      <c r="S11" s="46">
        <v>1.9637687547657229E-2</v>
      </c>
      <c r="T11" s="47">
        <v>4.3718878443875546</v>
      </c>
      <c r="U11" s="47">
        <v>1.8615224545372278</v>
      </c>
      <c r="V11" s="47">
        <v>1.4588847382312529</v>
      </c>
      <c r="W11" s="47">
        <v>1.3504168600215365</v>
      </c>
      <c r="X11" s="47">
        <v>0.98259378351137516</v>
      </c>
      <c r="Y11" s="47">
        <v>1.0000000000000002</v>
      </c>
      <c r="Z11" s="47">
        <v>1.0413599105775559</v>
      </c>
      <c r="AA11" s="47">
        <v>1.0628634273747792</v>
      </c>
      <c r="AB11" s="47">
        <v>1.0568398383814006</v>
      </c>
      <c r="AC11" s="47">
        <v>0.9365329614455159</v>
      </c>
      <c r="AD11" s="47">
        <v>1.1106672056053566</v>
      </c>
      <c r="AE11" s="47">
        <v>1.2918345165825877</v>
      </c>
      <c r="AF11" s="47">
        <v>0.99524547489217752</v>
      </c>
      <c r="AG11" s="47">
        <v>1.7027126703258222</v>
      </c>
      <c r="AH11" s="47">
        <v>3.5417695716217952</v>
      </c>
      <c r="AI11" s="47">
        <v>1.8615224545372278</v>
      </c>
      <c r="AJ11" s="47">
        <v>1.4588847382312526</v>
      </c>
      <c r="AK11" s="47">
        <v>1.0380780053151604</v>
      </c>
      <c r="AL11" s="47">
        <v>0.47538379576909978</v>
      </c>
      <c r="AM11" s="47">
        <v>1.0000000000000002</v>
      </c>
      <c r="AN11" s="47">
        <v>0.68680905664016056</v>
      </c>
      <c r="AO11" s="47">
        <v>0.9109795467865216</v>
      </c>
      <c r="AP11" s="47">
        <v>0.85273642892398471</v>
      </c>
      <c r="AQ11" s="47">
        <v>0.7367555341977261</v>
      </c>
      <c r="AR11" s="47">
        <v>0.78613056857129338</v>
      </c>
      <c r="AS11" s="47">
        <v>0.81795680472056764</v>
      </c>
      <c r="AT11" s="47">
        <v>0.42989319445821678</v>
      </c>
      <c r="AU11" s="47">
        <v>1.1526781309854941</v>
      </c>
      <c r="AV11" s="47">
        <f t="shared" si="5"/>
        <v>0.81012361196972826</v>
      </c>
      <c r="AW11" s="47">
        <f t="shared" si="6"/>
        <v>1</v>
      </c>
      <c r="AX11" s="47">
        <f t="shared" si="7"/>
        <v>0.99999999999999989</v>
      </c>
      <c r="AY11" s="47">
        <f t="shared" si="8"/>
        <v>0.76870930454660136</v>
      </c>
      <c r="AZ11" s="47">
        <f t="shared" si="9"/>
        <v>0.48380501052050107</v>
      </c>
      <c r="BA11" s="47">
        <f t="shared" si="10"/>
        <v>1</v>
      </c>
      <c r="BB11" s="47">
        <f t="shared" si="11"/>
        <v>0.65953091689427967</v>
      </c>
      <c r="BC11" s="47">
        <f t="shared" si="12"/>
        <v>0.85709934439704694</v>
      </c>
      <c r="BD11" s="47">
        <f t="shared" si="13"/>
        <v>0.80687384971216669</v>
      </c>
      <c r="BE11" s="47">
        <f t="shared" si="14"/>
        <v>0.78668404052812169</v>
      </c>
      <c r="BF11" s="47">
        <f t="shared" si="15"/>
        <v>0.70780028851470578</v>
      </c>
      <c r="BG11" s="47">
        <f t="shared" si="16"/>
        <v>0.63317460109704016</v>
      </c>
      <c r="BH11" s="47">
        <f t="shared" si="17"/>
        <v>0.43194689682441445</v>
      </c>
      <c r="BI11" s="47">
        <f t="shared" si="18"/>
        <v>0.67696573301761098</v>
      </c>
      <c r="BJ11" s="34">
        <f t="shared" ca="1" si="19"/>
        <v>1</v>
      </c>
      <c r="BK11" s="6" t="str">
        <f t="shared" ca="1" si="20"/>
        <v>Yes</v>
      </c>
    </row>
    <row r="12" spans="1:63" x14ac:dyDescent="0.3">
      <c r="A12" s="2" t="s">
        <v>30</v>
      </c>
      <c r="B12" s="38">
        <f t="shared" ref="B12:D12" si="29">B57/$D$4</f>
        <v>2.7199999999999998E-2</v>
      </c>
      <c r="C12" s="38">
        <f t="shared" si="29"/>
        <v>1.8749999999999999E-2</v>
      </c>
      <c r="D12" s="38">
        <f t="shared" si="29"/>
        <v>6.8000000000000005E-2</v>
      </c>
      <c r="F12" s="2" t="s">
        <v>30</v>
      </c>
      <c r="G12" s="38">
        <f t="shared" ref="G12:J12" si="30">G57/$D$4</f>
        <v>0.106</v>
      </c>
      <c r="H12" s="38">
        <f t="shared" si="30"/>
        <v>4.657</v>
      </c>
      <c r="I12" s="38">
        <f t="shared" si="30"/>
        <v>0.60719999999999996</v>
      </c>
      <c r="J12" s="38">
        <f t="shared" si="30"/>
        <v>18.002500000000001</v>
      </c>
      <c r="K12" s="23"/>
      <c r="L12" s="25">
        <v>7</v>
      </c>
      <c r="M12" s="46">
        <v>9.0214138036646485</v>
      </c>
      <c r="N12" s="46">
        <v>40.246269042150509</v>
      </c>
      <c r="O12" s="46">
        <v>0</v>
      </c>
      <c r="P12" s="46">
        <v>0</v>
      </c>
      <c r="Q12" s="46">
        <v>7.2296682364604847E-2</v>
      </c>
      <c r="R12" s="46">
        <v>0</v>
      </c>
      <c r="S12" s="46">
        <v>2.4742383951119974E-2</v>
      </c>
      <c r="T12" s="47">
        <v>5.1583809050666636</v>
      </c>
      <c r="U12" s="47">
        <v>2.0441792943667583</v>
      </c>
      <c r="V12" s="47">
        <v>1.6488650478057605</v>
      </c>
      <c r="W12" s="47">
        <v>1.2189981486650692</v>
      </c>
      <c r="X12" s="47">
        <v>0.65886741593836362</v>
      </c>
      <c r="Y12" s="47">
        <v>1.1406653681547447</v>
      </c>
      <c r="Z12" s="47">
        <v>1.0000000000000004</v>
      </c>
      <c r="AA12" s="47">
        <v>1.1175496595734087</v>
      </c>
      <c r="AB12" s="47">
        <v>0.98362882481580072</v>
      </c>
      <c r="AC12" s="47">
        <v>0.94940063203924807</v>
      </c>
      <c r="AD12" s="47">
        <v>1.1430216992215037</v>
      </c>
      <c r="AE12" s="47">
        <v>1.1498833554511918</v>
      </c>
      <c r="AF12" s="47">
        <v>0.79759587099477147</v>
      </c>
      <c r="AG12" s="47">
        <v>1.6549828262638853</v>
      </c>
      <c r="AH12" s="47">
        <v>3.7226861224018997</v>
      </c>
      <c r="AI12" s="47">
        <v>2.0441792943667565</v>
      </c>
      <c r="AJ12" s="47">
        <v>1.6488650478057592</v>
      </c>
      <c r="AK12" s="47">
        <v>1.1507526330809705</v>
      </c>
      <c r="AL12" s="47">
        <v>0.53266922171174302</v>
      </c>
      <c r="AM12" s="47">
        <v>1.1406653681547445</v>
      </c>
      <c r="AN12" s="47">
        <v>0.78211041685200211</v>
      </c>
      <c r="AO12" s="47">
        <v>1.0329190067162681</v>
      </c>
      <c r="AP12" s="47">
        <v>0.9586423419179777</v>
      </c>
      <c r="AQ12" s="47">
        <v>0.85633535165506991</v>
      </c>
      <c r="AR12" s="47">
        <v>0.90426530324381893</v>
      </c>
      <c r="AS12" s="47">
        <v>0.93925314927742387</v>
      </c>
      <c r="AT12" s="47">
        <v>0.49027683387778664</v>
      </c>
      <c r="AU12" s="47">
        <v>1.3281700272903394</v>
      </c>
      <c r="AV12" s="47">
        <f t="shared" si="5"/>
        <v>0.72167724542121425</v>
      </c>
      <c r="AW12" s="47">
        <f t="shared" si="6"/>
        <v>0.99999999999999911</v>
      </c>
      <c r="AX12" s="47">
        <f t="shared" si="7"/>
        <v>0.99999999999999922</v>
      </c>
      <c r="AY12" s="47">
        <f t="shared" si="8"/>
        <v>0.94401507856362654</v>
      </c>
      <c r="AZ12" s="47">
        <f t="shared" si="9"/>
        <v>0.80846192849453902</v>
      </c>
      <c r="BA12" s="47">
        <f t="shared" si="10"/>
        <v>0.99999999999999978</v>
      </c>
      <c r="BB12" s="47">
        <f t="shared" si="11"/>
        <v>0.78211041685200178</v>
      </c>
      <c r="BC12" s="47">
        <f t="shared" si="12"/>
        <v>0.92427123740573125</v>
      </c>
      <c r="BD12" s="47">
        <f t="shared" si="13"/>
        <v>0.97459765079322258</v>
      </c>
      <c r="BE12" s="47">
        <f t="shared" si="14"/>
        <v>0.9019747014658287</v>
      </c>
      <c r="BF12" s="47">
        <f t="shared" si="15"/>
        <v>0.79111822974113399</v>
      </c>
      <c r="BG12" s="47">
        <f t="shared" si="16"/>
        <v>0.81682471950285707</v>
      </c>
      <c r="BH12" s="47">
        <f t="shared" si="17"/>
        <v>0.61469329482148305</v>
      </c>
      <c r="BI12" s="47">
        <f t="shared" si="18"/>
        <v>0.80252798168829098</v>
      </c>
      <c r="BJ12" s="34">
        <f t="shared" ca="1" si="19"/>
        <v>0.78211041685200178</v>
      </c>
      <c r="BK12" s="6" t="str">
        <f t="shared" ca="1" si="20"/>
        <v>No</v>
      </c>
    </row>
    <row r="13" spans="1:63" x14ac:dyDescent="0.3">
      <c r="A13" s="2" t="s">
        <v>31</v>
      </c>
      <c r="B13" s="38">
        <f t="shared" ref="B13:D13" si="31">B58/$D$4</f>
        <v>2.1270000000000001E-2</v>
      </c>
      <c r="C13" s="38">
        <f t="shared" si="31"/>
        <v>2.3E-2</v>
      </c>
      <c r="D13" s="38">
        <f t="shared" si="31"/>
        <v>7.1330000000000005E-2</v>
      </c>
      <c r="F13" s="2" t="s">
        <v>31</v>
      </c>
      <c r="G13" s="38">
        <f t="shared" ref="G13:J13" si="32">G58/$D$4</f>
        <v>0.5</v>
      </c>
      <c r="H13" s="38">
        <f t="shared" si="32"/>
        <v>6.4269999999999996</v>
      </c>
      <c r="I13" s="38">
        <f t="shared" si="32"/>
        <v>1.2984</v>
      </c>
      <c r="J13" s="38">
        <f t="shared" si="32"/>
        <v>22.967400000000001</v>
      </c>
      <c r="K13" s="23"/>
      <c r="L13" s="25">
        <v>8</v>
      </c>
      <c r="M13" s="46">
        <v>10.646640952494135</v>
      </c>
      <c r="N13" s="46">
        <v>33.632432475671727</v>
      </c>
      <c r="O13" s="46">
        <v>0</v>
      </c>
      <c r="P13" s="46">
        <v>0.18957080854186292</v>
      </c>
      <c r="Q13" s="46">
        <v>0</v>
      </c>
      <c r="R13" s="46">
        <v>0.16125637368254286</v>
      </c>
      <c r="S13" s="46">
        <v>2.9594984042358025E-2</v>
      </c>
      <c r="T13" s="47">
        <v>4.6007293831120704</v>
      </c>
      <c r="U13" s="47">
        <v>1.8093460428763544</v>
      </c>
      <c r="V13" s="47">
        <v>1.453729392127203</v>
      </c>
      <c r="W13" s="47">
        <v>1.1162585809676835</v>
      </c>
      <c r="X13" s="47">
        <v>0.61812448136792242</v>
      </c>
      <c r="Y13" s="47">
        <v>1.0584747029311647</v>
      </c>
      <c r="Z13" s="47">
        <v>0.92019674282668529</v>
      </c>
      <c r="AA13" s="47">
        <v>1</v>
      </c>
      <c r="AB13" s="47">
        <v>0.89741019295479552</v>
      </c>
      <c r="AC13" s="47">
        <v>0.84661750091074106</v>
      </c>
      <c r="AD13" s="47">
        <v>1.047391243406361</v>
      </c>
      <c r="AE13" s="47">
        <v>1.0485568974440305</v>
      </c>
      <c r="AF13" s="47">
        <v>0.75065051712450248</v>
      </c>
      <c r="AG13" s="47">
        <v>1.5406689616712614</v>
      </c>
      <c r="AH13" s="47">
        <v>1.3465639760490011</v>
      </c>
      <c r="AI13" s="47">
        <v>1.8093460428763539</v>
      </c>
      <c r="AJ13" s="47">
        <v>1.4537293921272028</v>
      </c>
      <c r="AK13" s="47">
        <v>0.80776291194218541</v>
      </c>
      <c r="AL13" s="47">
        <v>0.42536960648491234</v>
      </c>
      <c r="AM13" s="47">
        <v>1.0584747029311647</v>
      </c>
      <c r="AN13" s="47">
        <v>0.65079307602802783</v>
      </c>
      <c r="AO13" s="47">
        <v>0.9838805163547989</v>
      </c>
      <c r="AP13" s="47">
        <v>0.8974101929547954</v>
      </c>
      <c r="AQ13" s="47">
        <v>0.7036137001364805</v>
      </c>
      <c r="AR13" s="47">
        <v>0.94285954401988703</v>
      </c>
      <c r="AS13" s="47">
        <v>0.84758757262371154</v>
      </c>
      <c r="AT13" s="47">
        <v>0.53877755703269714</v>
      </c>
      <c r="AU13" s="47">
        <v>1.3883445112669248</v>
      </c>
      <c r="AV13" s="47">
        <f t="shared" si="5"/>
        <v>0.29268489057231728</v>
      </c>
      <c r="AW13" s="47">
        <f t="shared" si="6"/>
        <v>0.99999999999999978</v>
      </c>
      <c r="AX13" s="47">
        <f t="shared" si="7"/>
        <v>0.99999999999999989</v>
      </c>
      <c r="AY13" s="47">
        <f t="shared" si="8"/>
        <v>0.72363422392859589</v>
      </c>
      <c r="AZ13" s="47">
        <f t="shared" si="9"/>
        <v>0.68816172034403245</v>
      </c>
      <c r="BA13" s="47">
        <f t="shared" si="10"/>
        <v>1</v>
      </c>
      <c r="BB13" s="47">
        <f t="shared" si="11"/>
        <v>0.70723253597801705</v>
      </c>
      <c r="BC13" s="47">
        <f t="shared" si="12"/>
        <v>0.9838805163547989</v>
      </c>
      <c r="BD13" s="47">
        <f t="shared" si="13"/>
        <v>0.99999999999999989</v>
      </c>
      <c r="BE13" s="47">
        <f t="shared" si="14"/>
        <v>0.83108806442056116</v>
      </c>
      <c r="BF13" s="47">
        <f t="shared" si="15"/>
        <v>0.90019803961076428</v>
      </c>
      <c r="BG13" s="47">
        <f t="shared" si="16"/>
        <v>0.80833722489432558</v>
      </c>
      <c r="BH13" s="47">
        <f t="shared" si="17"/>
        <v>0.71774753329495911</v>
      </c>
      <c r="BI13" s="47">
        <f t="shared" si="18"/>
        <v>0.90113096700598116</v>
      </c>
      <c r="BJ13" s="34">
        <f t="shared" ca="1" si="19"/>
        <v>0.9838805163547989</v>
      </c>
      <c r="BK13" s="6" t="str">
        <f t="shared" ca="1" si="20"/>
        <v>No</v>
      </c>
    </row>
    <row r="14" spans="1:63" x14ac:dyDescent="0.3">
      <c r="A14" s="2" t="s">
        <v>32</v>
      </c>
      <c r="B14" s="38">
        <f t="shared" ref="B14:D14" si="33">B59/$D$4</f>
        <v>2.427E-2</v>
      </c>
      <c r="C14" s="38">
        <f t="shared" si="33"/>
        <v>1.9E-2</v>
      </c>
      <c r="D14" s="38">
        <f t="shared" si="33"/>
        <v>7.0000000000000007E-2</v>
      </c>
      <c r="F14" s="2" t="s">
        <v>32</v>
      </c>
      <c r="G14" s="38">
        <f t="shared" ref="G14:J14" si="34">G59/$D$4</f>
        <v>0.81399999999999995</v>
      </c>
      <c r="H14" s="38">
        <f t="shared" si="34"/>
        <v>6.4770000000000003</v>
      </c>
      <c r="I14" s="38">
        <f t="shared" si="34"/>
        <v>0.9708</v>
      </c>
      <c r="J14" s="38">
        <f t="shared" si="34"/>
        <v>19.819299999999998</v>
      </c>
      <c r="K14" s="23"/>
      <c r="L14" s="25">
        <v>9</v>
      </c>
      <c r="M14" s="46">
        <v>10.374149852980416</v>
      </c>
      <c r="N14" s="46">
        <v>0</v>
      </c>
      <c r="O14" s="46">
        <v>10.688848329545229</v>
      </c>
      <c r="P14" s="46">
        <v>0.41963777423527865</v>
      </c>
      <c r="Q14" s="46">
        <v>4.3188994239533499E-2</v>
      </c>
      <c r="R14" s="46">
        <v>0</v>
      </c>
      <c r="S14" s="46">
        <v>1.9106615071320641E-2</v>
      </c>
      <c r="T14" s="47">
        <v>4.0858357980571185</v>
      </c>
      <c r="U14" s="47">
        <v>1.6877933041889017</v>
      </c>
      <c r="V14" s="47">
        <v>1.3148525609864496</v>
      </c>
      <c r="W14" s="47">
        <v>1.2805831266618604</v>
      </c>
      <c r="X14" s="47">
        <v>0.92373273767445419</v>
      </c>
      <c r="Y14" s="47">
        <v>1.024769900281796</v>
      </c>
      <c r="Z14" s="47">
        <v>1.0090185624101429</v>
      </c>
      <c r="AA14" s="47">
        <v>0.98309371871935469</v>
      </c>
      <c r="AB14" s="47">
        <v>1.0000000000000007</v>
      </c>
      <c r="AC14" s="47">
        <v>0.8546339516916539</v>
      </c>
      <c r="AD14" s="47">
        <v>1.0809254258139354</v>
      </c>
      <c r="AE14" s="47">
        <v>1.2117919821949372</v>
      </c>
      <c r="AF14" s="47">
        <v>0.9720760579918698</v>
      </c>
      <c r="AG14" s="47">
        <v>1.6948924099108762</v>
      </c>
      <c r="AH14" s="47">
        <v>2.7577633952277596</v>
      </c>
      <c r="AI14" s="47">
        <v>1.6877933041889011</v>
      </c>
      <c r="AJ14" s="47">
        <v>1.3148525609864492</v>
      </c>
      <c r="AK14" s="47">
        <v>0.90924580923926723</v>
      </c>
      <c r="AL14" s="47">
        <v>0.40306347659156438</v>
      </c>
      <c r="AM14" s="47">
        <v>1.0247699002817958</v>
      </c>
      <c r="AN14" s="47">
        <v>0.58957958806389688</v>
      </c>
      <c r="AO14" s="47">
        <v>0.92622382408417092</v>
      </c>
      <c r="AP14" s="47">
        <v>1.0000000000000004</v>
      </c>
      <c r="AQ14" s="47">
        <v>0.67083249973011494</v>
      </c>
      <c r="AR14" s="47">
        <v>0.72544171973618066</v>
      </c>
      <c r="AS14" s="47">
        <v>0.73961300721276291</v>
      </c>
      <c r="AT14" s="47">
        <v>0.41277409309274954</v>
      </c>
      <c r="AU14" s="47">
        <v>1.1048599150129017</v>
      </c>
      <c r="AV14" s="47">
        <f t="shared" si="5"/>
        <v>0.6749569810267757</v>
      </c>
      <c r="AW14" s="47">
        <f t="shared" si="6"/>
        <v>0.99999999999999956</v>
      </c>
      <c r="AX14" s="47">
        <f t="shared" si="7"/>
        <v>0.99999999999999967</v>
      </c>
      <c r="AY14" s="47">
        <f t="shared" si="8"/>
        <v>0.71002482408887369</v>
      </c>
      <c r="AZ14" s="47">
        <f t="shared" si="9"/>
        <v>0.43634209350022379</v>
      </c>
      <c r="BA14" s="47">
        <f t="shared" si="10"/>
        <v>0.99999999999999978</v>
      </c>
      <c r="BB14" s="47">
        <f t="shared" si="11"/>
        <v>0.58430995229228133</v>
      </c>
      <c r="BC14" s="47">
        <f t="shared" si="12"/>
        <v>0.94215211271081423</v>
      </c>
      <c r="BD14" s="47">
        <f t="shared" si="13"/>
        <v>0.99999999999999978</v>
      </c>
      <c r="BE14" s="47">
        <f t="shared" si="14"/>
        <v>0.78493546670159287</v>
      </c>
      <c r="BF14" s="47">
        <f t="shared" si="15"/>
        <v>0.67113022083824514</v>
      </c>
      <c r="BG14" s="47">
        <f t="shared" si="16"/>
        <v>0.61034651002814078</v>
      </c>
      <c r="BH14" s="47">
        <f t="shared" si="17"/>
        <v>0.42463147785520489</v>
      </c>
      <c r="BI14" s="47">
        <f t="shared" si="18"/>
        <v>0.65187613594363747</v>
      </c>
      <c r="BJ14" s="34">
        <f t="shared" ca="1" si="19"/>
        <v>0.99999999999999978</v>
      </c>
      <c r="BK14" s="6" t="str">
        <f t="shared" ca="1" si="20"/>
        <v>Yes</v>
      </c>
    </row>
    <row r="15" spans="1:63" x14ac:dyDescent="0.3">
      <c r="A15" s="2" t="s">
        <v>33</v>
      </c>
      <c r="B15" s="38">
        <f t="shared" ref="B15:D15" si="35">B60/$D$4</f>
        <v>1.7129999999999999E-2</v>
      </c>
      <c r="C15" s="38">
        <f t="shared" si="35"/>
        <v>1.975E-2</v>
      </c>
      <c r="D15" s="38">
        <f t="shared" si="35"/>
        <v>6.3329999999999997E-2</v>
      </c>
      <c r="F15" s="2" t="s">
        <v>33</v>
      </c>
      <c r="G15" s="38">
        <f t="shared" ref="G15:J15" si="36">G60/$D$4</f>
        <v>0.14399999999999999</v>
      </c>
      <c r="H15" s="38">
        <f t="shared" si="36"/>
        <v>4.0250000000000004</v>
      </c>
      <c r="I15" s="38">
        <f t="shared" si="36"/>
        <v>5.9999999999999995E-4</v>
      </c>
      <c r="J15" s="38">
        <f t="shared" si="36"/>
        <v>22.8491</v>
      </c>
      <c r="K15" s="23"/>
      <c r="L15" s="25">
        <v>10</v>
      </c>
      <c r="M15" s="46">
        <v>9.8016463165878172</v>
      </c>
      <c r="N15" s="46">
        <v>4.0197911567150957</v>
      </c>
      <c r="O15" s="46">
        <v>11.885471707748749</v>
      </c>
      <c r="P15" s="46">
        <v>0</v>
      </c>
      <c r="Q15" s="46">
        <v>0</v>
      </c>
      <c r="R15" s="46">
        <v>0</v>
      </c>
      <c r="S15" s="46">
        <v>4.3765399950107468E-2</v>
      </c>
      <c r="T15" s="47">
        <v>4.8125457852839126</v>
      </c>
      <c r="U15" s="47">
        <v>1.9952001108356079</v>
      </c>
      <c r="V15" s="47">
        <v>1.5624466609188117</v>
      </c>
      <c r="W15" s="47">
        <v>1.4629610263876791</v>
      </c>
      <c r="X15" s="47">
        <v>1.0356952394289025</v>
      </c>
      <c r="Y15" s="47">
        <v>1.1641771448328389</v>
      </c>
      <c r="Z15" s="47">
        <v>1.1501879401265116</v>
      </c>
      <c r="AA15" s="47">
        <v>1.1487269106719884</v>
      </c>
      <c r="AB15" s="47">
        <v>1.1462450076235857</v>
      </c>
      <c r="AC15" s="47">
        <v>1.0000000000000007</v>
      </c>
      <c r="AD15" s="47">
        <v>1.2379214724931811</v>
      </c>
      <c r="AE15" s="47">
        <v>1.3879973462310797</v>
      </c>
      <c r="AF15" s="47">
        <v>1.0892361495349765</v>
      </c>
      <c r="AG15" s="47">
        <v>1.9162649263609448</v>
      </c>
      <c r="AH15" s="47">
        <v>1.2917051437474567</v>
      </c>
      <c r="AI15" s="47">
        <v>1.4603901247751561</v>
      </c>
      <c r="AJ15" s="47">
        <v>1.5624466609188117</v>
      </c>
      <c r="AK15" s="47">
        <v>0.9109111518615618</v>
      </c>
      <c r="AL15" s="47">
        <v>0.467895890866599</v>
      </c>
      <c r="AM15" s="47">
        <v>1.1641771448328386</v>
      </c>
      <c r="AN15" s="47">
        <v>0.78788661260180981</v>
      </c>
      <c r="AO15" s="47">
        <v>1.0051774468140984</v>
      </c>
      <c r="AP15" s="47">
        <v>0.86739959123116483</v>
      </c>
      <c r="AQ15" s="47">
        <v>1.0000000000000004</v>
      </c>
      <c r="AR15" s="47">
        <v>0.9826032535198328</v>
      </c>
      <c r="AS15" s="47">
        <v>1.0079171608509749</v>
      </c>
      <c r="AT15" s="47">
        <v>0.49969145393035203</v>
      </c>
      <c r="AU15" s="47">
        <v>1.4610597353943926</v>
      </c>
      <c r="AV15" s="47">
        <f t="shared" si="5"/>
        <v>0.26840371008984665</v>
      </c>
      <c r="AW15" s="47">
        <f t="shared" si="6"/>
        <v>0.73195170591862657</v>
      </c>
      <c r="AX15" s="47">
        <f t="shared" si="7"/>
        <v>1</v>
      </c>
      <c r="AY15" s="47">
        <f t="shared" si="8"/>
        <v>0.62264895334277603</v>
      </c>
      <c r="AZ15" s="47">
        <f t="shared" si="9"/>
        <v>0.45176985763167515</v>
      </c>
      <c r="BA15" s="47">
        <f t="shared" si="10"/>
        <v>0.99999999999999978</v>
      </c>
      <c r="BB15" s="47">
        <f t="shared" si="11"/>
        <v>0.68500684550313451</v>
      </c>
      <c r="BC15" s="47">
        <f t="shared" si="12"/>
        <v>0.87503603987660072</v>
      </c>
      <c r="BD15" s="47">
        <f t="shared" si="13"/>
        <v>0.75673140163067942</v>
      </c>
      <c r="BE15" s="47">
        <f t="shared" si="14"/>
        <v>0.99999999999999978</v>
      </c>
      <c r="BF15" s="47">
        <f t="shared" si="15"/>
        <v>0.79375249186110663</v>
      </c>
      <c r="BG15" s="47">
        <f t="shared" si="16"/>
        <v>0.72616648986241839</v>
      </c>
      <c r="BH15" s="47">
        <f t="shared" si="17"/>
        <v>0.45875401228988172</v>
      </c>
      <c r="BI15" s="47">
        <f t="shared" si="18"/>
        <v>0.76245184853902059</v>
      </c>
      <c r="BJ15" s="34">
        <f t="shared" ca="1" si="19"/>
        <v>0.99999999999999978</v>
      </c>
      <c r="BK15" s="6" t="str">
        <f t="shared" ca="1" si="20"/>
        <v>Yes</v>
      </c>
    </row>
    <row r="16" spans="1:63" x14ac:dyDescent="0.3">
      <c r="A16" s="2" t="s">
        <v>34</v>
      </c>
      <c r="B16" s="38">
        <f t="shared" ref="B16:D16" si="37">B61/$D$4</f>
        <v>2.9669999999999998E-2</v>
      </c>
      <c r="C16" s="38">
        <f t="shared" si="37"/>
        <v>2.1749999999999999E-2</v>
      </c>
      <c r="D16" s="38">
        <f t="shared" si="37"/>
        <v>7.2330000000000005E-2</v>
      </c>
      <c r="F16" s="2" t="s">
        <v>34</v>
      </c>
      <c r="G16" s="38">
        <f t="shared" ref="G16:J16" si="38">G61/$D$4</f>
        <v>0.21</v>
      </c>
      <c r="H16" s="38">
        <f t="shared" si="38"/>
        <v>4.8239999999999998</v>
      </c>
      <c r="I16" s="38">
        <f t="shared" si="38"/>
        <v>1.4796</v>
      </c>
      <c r="J16" s="38">
        <f t="shared" si="38"/>
        <v>22.451599999999999</v>
      </c>
      <c r="K16" s="23"/>
      <c r="L16" s="25">
        <v>11</v>
      </c>
      <c r="M16" s="46">
        <v>2.2857894873532718</v>
      </c>
      <c r="N16" s="46">
        <v>42.85887935219445</v>
      </c>
      <c r="O16" s="46">
        <v>0</v>
      </c>
      <c r="P16" s="46">
        <v>0</v>
      </c>
      <c r="Q16" s="46">
        <v>0</v>
      </c>
      <c r="R16" s="46">
        <v>0.25158974237890092</v>
      </c>
      <c r="S16" s="46">
        <v>2.648302770126337E-2</v>
      </c>
      <c r="T16" s="47">
        <v>4.8099475433775361</v>
      </c>
      <c r="U16" s="47">
        <v>1.9387179838440605</v>
      </c>
      <c r="V16" s="47">
        <v>1.5772634804943226</v>
      </c>
      <c r="W16" s="47">
        <v>1.0682427348414136</v>
      </c>
      <c r="X16" s="47">
        <v>0.54254731811042278</v>
      </c>
      <c r="Y16" s="47">
        <v>0.96674143649469013</v>
      </c>
      <c r="Z16" s="47">
        <v>0.86577746190965499</v>
      </c>
      <c r="AA16" s="47">
        <v>1.0343729674964763</v>
      </c>
      <c r="AB16" s="47">
        <v>0.86979481854975849</v>
      </c>
      <c r="AC16" s="47">
        <v>0.88561844112420196</v>
      </c>
      <c r="AD16" s="47">
        <v>1.0000000000000009</v>
      </c>
      <c r="AE16" s="47">
        <v>1.0180693291296887</v>
      </c>
      <c r="AF16" s="47">
        <v>0.65118591251532676</v>
      </c>
      <c r="AG16" s="47">
        <v>1.3910097614212162</v>
      </c>
      <c r="AH16" s="47">
        <v>1.2334328838474278</v>
      </c>
      <c r="AI16" s="47">
        <v>1.93871798384406</v>
      </c>
      <c r="AJ16" s="47">
        <v>1.441491666523194</v>
      </c>
      <c r="AK16" s="47">
        <v>0.75755840375941974</v>
      </c>
      <c r="AL16" s="47">
        <v>0.42593238692847085</v>
      </c>
      <c r="AM16" s="47">
        <v>0.96674143649469046</v>
      </c>
      <c r="AN16" s="47">
        <v>0.6295259977644625</v>
      </c>
      <c r="AO16" s="47">
        <v>0.93491041193076119</v>
      </c>
      <c r="AP16" s="47">
        <v>0.76911839282108607</v>
      </c>
      <c r="AQ16" s="47">
        <v>0.6052643020943641</v>
      </c>
      <c r="AR16" s="47">
        <v>0.96683852756150646</v>
      </c>
      <c r="AS16" s="47">
        <v>0.81331443467343678</v>
      </c>
      <c r="AT16" s="47">
        <v>0.56608633674073849</v>
      </c>
      <c r="AU16" s="47">
        <v>1.3910097614212158</v>
      </c>
      <c r="AV16" s="47">
        <f t="shared" si="5"/>
        <v>0.25643374958332987</v>
      </c>
      <c r="AW16" s="47">
        <f t="shared" si="6"/>
        <v>0.99999999999999978</v>
      </c>
      <c r="AX16" s="47">
        <f t="shared" si="7"/>
        <v>0.91391938274727758</v>
      </c>
      <c r="AY16" s="47">
        <f t="shared" si="8"/>
        <v>0.70916316961601744</v>
      </c>
      <c r="AZ16" s="47">
        <f t="shared" si="9"/>
        <v>0.78506034904366129</v>
      </c>
      <c r="BA16" s="47">
        <f t="shared" si="10"/>
        <v>1.0000000000000004</v>
      </c>
      <c r="BB16" s="47">
        <f t="shared" si="11"/>
        <v>0.72712218261712425</v>
      </c>
      <c r="BC16" s="47">
        <f t="shared" si="12"/>
        <v>0.90384265763784666</v>
      </c>
      <c r="BD16" s="47">
        <f t="shared" si="13"/>
        <v>0.88425267249058348</v>
      </c>
      <c r="BE16" s="47">
        <f t="shared" si="14"/>
        <v>0.68343687754067428</v>
      </c>
      <c r="BF16" s="47">
        <f t="shared" si="15"/>
        <v>0.96683852756150557</v>
      </c>
      <c r="BG16" s="47">
        <f t="shared" si="16"/>
        <v>0.7988792230571472</v>
      </c>
      <c r="BH16" s="47">
        <f t="shared" si="17"/>
        <v>0.8693160061680768</v>
      </c>
      <c r="BI16" s="47">
        <f t="shared" si="18"/>
        <v>0.99999999999999967</v>
      </c>
      <c r="BJ16" s="34">
        <f t="shared" ca="1" si="19"/>
        <v>0.96683852756150557</v>
      </c>
      <c r="BK16" s="6" t="str">
        <f t="shared" ca="1" si="20"/>
        <v>No</v>
      </c>
    </row>
    <row r="17" spans="1:63" x14ac:dyDescent="0.3">
      <c r="A17" s="2" t="s">
        <v>35</v>
      </c>
      <c r="B17" s="38">
        <f t="shared" ref="B17:D17" si="39">B62/$D$4</f>
        <v>2.8199999999999999E-2</v>
      </c>
      <c r="C17" s="38">
        <f t="shared" si="39"/>
        <v>2.2249999999999999E-2</v>
      </c>
      <c r="D17" s="38">
        <f t="shared" si="39"/>
        <v>8.5999999999999993E-2</v>
      </c>
      <c r="F17" s="2" t="s">
        <v>35</v>
      </c>
      <c r="G17" s="38">
        <f t="shared" ref="G17:J17" si="40">G62/$D$4</f>
        <v>0.188</v>
      </c>
      <c r="H17" s="38">
        <f t="shared" si="40"/>
        <v>5.1100000000000003</v>
      </c>
      <c r="I17" s="38">
        <f t="shared" si="40"/>
        <v>0.8085</v>
      </c>
      <c r="J17" s="38">
        <f t="shared" si="40"/>
        <v>23.03</v>
      </c>
      <c r="K17" s="23"/>
      <c r="L17" s="25">
        <v>12</v>
      </c>
      <c r="M17" s="46">
        <v>9.9892054752784016</v>
      </c>
      <c r="N17" s="46">
        <v>32.283344071782018</v>
      </c>
      <c r="O17" s="46">
        <v>0</v>
      </c>
      <c r="P17" s="46">
        <v>0</v>
      </c>
      <c r="Q17" s="46">
        <v>0</v>
      </c>
      <c r="R17" s="46">
        <v>6.4053237548100259E-2</v>
      </c>
      <c r="S17" s="46">
        <v>3.5391884287201025E-2</v>
      </c>
      <c r="T17" s="47">
        <v>4.3946811987063548</v>
      </c>
      <c r="U17" s="47">
        <v>1.7292743212333241</v>
      </c>
      <c r="V17" s="47">
        <v>1.3897953281450546</v>
      </c>
      <c r="W17" s="47">
        <v>1.0642488015926737</v>
      </c>
      <c r="X17" s="47">
        <v>0.58832389180329281</v>
      </c>
      <c r="Y17" s="47">
        <v>1.0082137789371564</v>
      </c>
      <c r="Z17" s="47">
        <v>0.87701909027348535</v>
      </c>
      <c r="AA17" s="47">
        <v>0.95498731411015803</v>
      </c>
      <c r="AB17" s="47">
        <v>0.85582155424886508</v>
      </c>
      <c r="AC17" s="47">
        <v>0.80871113520921389</v>
      </c>
      <c r="AD17" s="47">
        <v>0.99854246001276903</v>
      </c>
      <c r="AE17" s="47">
        <v>1.0000000000000009</v>
      </c>
      <c r="AF17" s="47">
        <v>0.71430377320278904</v>
      </c>
      <c r="AG17" s="47">
        <v>1.4671818798963883</v>
      </c>
      <c r="AH17" s="47">
        <v>1.1595934944066155</v>
      </c>
      <c r="AI17" s="47">
        <v>1.4495784763600996</v>
      </c>
      <c r="AJ17" s="47">
        <v>1.3897953281450546</v>
      </c>
      <c r="AK17" s="47">
        <v>0.78916544904861041</v>
      </c>
      <c r="AL17" s="47">
        <v>0.4147312525467679</v>
      </c>
      <c r="AM17" s="47">
        <v>1.0082137789371566</v>
      </c>
      <c r="AN17" s="47">
        <v>0.67603552271954293</v>
      </c>
      <c r="AO17" s="47">
        <v>0.89602628681031427</v>
      </c>
      <c r="AP17" s="47">
        <v>0.7636252552650189</v>
      </c>
      <c r="AQ17" s="47">
        <v>0.80871113520921378</v>
      </c>
      <c r="AR17" s="47">
        <v>0.88937759953869167</v>
      </c>
      <c r="AS17" s="47">
        <v>0.86686213769187881</v>
      </c>
      <c r="AT17" s="47">
        <v>0.4712274424470364</v>
      </c>
      <c r="AU17" s="47">
        <v>1.3105735888674026</v>
      </c>
      <c r="AV17" s="47">
        <f t="shared" si="5"/>
        <v>0.26386293839652364</v>
      </c>
      <c r="AW17" s="47">
        <f t="shared" si="6"/>
        <v>0.83825825582505353</v>
      </c>
      <c r="AX17" s="47">
        <f t="shared" si="7"/>
        <v>1</v>
      </c>
      <c r="AY17" s="47">
        <f t="shared" si="8"/>
        <v>0.74152345566901789</v>
      </c>
      <c r="AZ17" s="47">
        <f t="shared" si="9"/>
        <v>0.70493695449892435</v>
      </c>
      <c r="BA17" s="47">
        <f t="shared" si="10"/>
        <v>1.0000000000000002</v>
      </c>
      <c r="BB17" s="47">
        <f t="shared" si="11"/>
        <v>0.77083330364990266</v>
      </c>
      <c r="BC17" s="47">
        <f t="shared" si="12"/>
        <v>0.93825988426371643</v>
      </c>
      <c r="BD17" s="47">
        <f t="shared" si="13"/>
        <v>0.89227158567563214</v>
      </c>
      <c r="BE17" s="47">
        <f t="shared" si="14"/>
        <v>0.99999999999999989</v>
      </c>
      <c r="BF17" s="47">
        <f t="shared" si="15"/>
        <v>0.89067579512574613</v>
      </c>
      <c r="BG17" s="47">
        <f t="shared" si="16"/>
        <v>0.86686213769187803</v>
      </c>
      <c r="BH17" s="47">
        <f t="shared" si="17"/>
        <v>0.6597017405272142</v>
      </c>
      <c r="BI17" s="47">
        <f t="shared" si="18"/>
        <v>0.89325911587727269</v>
      </c>
      <c r="BJ17" s="34">
        <f t="shared" ca="1" si="19"/>
        <v>0.86686213769187803</v>
      </c>
      <c r="BK17" s="6" t="str">
        <f t="shared" ca="1" si="20"/>
        <v>No</v>
      </c>
    </row>
    <row r="18" spans="1:63" x14ac:dyDescent="0.3">
      <c r="A18" s="2" t="s">
        <v>36</v>
      </c>
      <c r="B18" s="38">
        <f t="shared" ref="B18:D18" si="41">B63/$D$4</f>
        <v>2.707E-2</v>
      </c>
      <c r="C18" s="38">
        <f t="shared" si="41"/>
        <v>1.375E-2</v>
      </c>
      <c r="D18" s="38">
        <f t="shared" si="41"/>
        <v>6.4670000000000005E-2</v>
      </c>
      <c r="F18" s="2" t="s">
        <v>36</v>
      </c>
      <c r="G18" s="38">
        <f t="shared" ref="G18:J18" si="42">G63/$D$4</f>
        <v>0.16800000000000001</v>
      </c>
      <c r="H18" s="38">
        <f t="shared" si="42"/>
        <v>2.8740000000000001</v>
      </c>
      <c r="I18" s="38">
        <f t="shared" si="42"/>
        <v>1.0482</v>
      </c>
      <c r="J18" s="38">
        <f t="shared" si="42"/>
        <v>11.4175</v>
      </c>
      <c r="K18" s="23"/>
      <c r="L18" s="25">
        <v>13</v>
      </c>
      <c r="M18" s="46">
        <v>0</v>
      </c>
      <c r="N18" s="46">
        <v>72.727272727272734</v>
      </c>
      <c r="O18" s="46">
        <v>0</v>
      </c>
      <c r="P18" s="46">
        <v>0</v>
      </c>
      <c r="Q18" s="46">
        <v>0</v>
      </c>
      <c r="R18" s="46">
        <v>0.45927087009506296</v>
      </c>
      <c r="S18" s="46">
        <v>3.7092652882641887E-2</v>
      </c>
      <c r="T18" s="47">
        <v>7.8000000000000007</v>
      </c>
      <c r="U18" s="47">
        <v>3.1636363636363636</v>
      </c>
      <c r="V18" s="47">
        <v>2.581818181818182</v>
      </c>
      <c r="W18" s="47">
        <v>1.6909090909090911</v>
      </c>
      <c r="X18" s="47">
        <v>0.83636363636363642</v>
      </c>
      <c r="Y18" s="47">
        <v>1.5090909090909093</v>
      </c>
      <c r="Z18" s="47">
        <v>1.3636363636363638</v>
      </c>
      <c r="AA18" s="47">
        <v>1.6727272727272728</v>
      </c>
      <c r="AB18" s="47">
        <v>1.3818181818181818</v>
      </c>
      <c r="AC18" s="47">
        <v>1.4363636363636365</v>
      </c>
      <c r="AD18" s="47">
        <v>1.5818181818181818</v>
      </c>
      <c r="AE18" s="47">
        <v>1.6181818181818182</v>
      </c>
      <c r="AF18" s="47">
        <v>1</v>
      </c>
      <c r="AG18" s="47">
        <v>2.1636363636363636</v>
      </c>
      <c r="AH18" s="47">
        <v>1.9195223134908714</v>
      </c>
      <c r="AI18" s="47">
        <v>3.1636363636363609</v>
      </c>
      <c r="AJ18" s="47">
        <v>2.229724701716183</v>
      </c>
      <c r="AK18" s="47">
        <v>1.1487218984248375</v>
      </c>
      <c r="AL18" s="47">
        <v>0.65723969783428215</v>
      </c>
      <c r="AM18" s="47">
        <v>1.4654692858135303</v>
      </c>
      <c r="AN18" s="47">
        <v>0.94662975584148279</v>
      </c>
      <c r="AO18" s="47">
        <v>1.448239093548219</v>
      </c>
      <c r="AP18" s="47">
        <v>1.1810105759652314</v>
      </c>
      <c r="AQ18" s="47">
        <v>0.84780929750282985</v>
      </c>
      <c r="AR18" s="47">
        <v>1.5123265848525778</v>
      </c>
      <c r="AS18" s="47">
        <v>1.2255642943591012</v>
      </c>
      <c r="AT18" s="47">
        <v>0.90491309032120881</v>
      </c>
      <c r="AU18" s="47">
        <v>2.1636363636363614</v>
      </c>
      <c r="AV18" s="47">
        <f t="shared" si="5"/>
        <v>0.24609260429370144</v>
      </c>
      <c r="AW18" s="47">
        <f t="shared" si="6"/>
        <v>0.99999999999999911</v>
      </c>
      <c r="AX18" s="47">
        <f t="shared" si="7"/>
        <v>0.8636257647492257</v>
      </c>
      <c r="AY18" s="47">
        <f t="shared" si="8"/>
        <v>0.67935166035877481</v>
      </c>
      <c r="AZ18" s="47">
        <f t="shared" si="9"/>
        <v>0.78583007349751122</v>
      </c>
      <c r="BA18" s="47">
        <f t="shared" si="10"/>
        <v>0.97109410505715854</v>
      </c>
      <c r="BB18" s="47">
        <f t="shared" si="11"/>
        <v>0.694195154283754</v>
      </c>
      <c r="BC18" s="47">
        <f t="shared" si="12"/>
        <v>0.86579511027339173</v>
      </c>
      <c r="BD18" s="47">
        <f t="shared" si="13"/>
        <v>0.85467870629062803</v>
      </c>
      <c r="BE18" s="47">
        <f t="shared" si="14"/>
        <v>0.59024697927412195</v>
      </c>
      <c r="BF18" s="47">
        <f t="shared" si="15"/>
        <v>0.95606853065392849</v>
      </c>
      <c r="BG18" s="47">
        <f t="shared" si="16"/>
        <v>0.75737119314326484</v>
      </c>
      <c r="BH18" s="47">
        <f t="shared" si="17"/>
        <v>0.90491309032120881</v>
      </c>
      <c r="BI18" s="47">
        <f t="shared" si="18"/>
        <v>0.999999999999999</v>
      </c>
      <c r="BJ18" s="34">
        <f t="shared" ca="1" si="19"/>
        <v>0.90491309032120881</v>
      </c>
      <c r="BK18" s="6" t="str">
        <f t="shared" ca="1" si="20"/>
        <v>No</v>
      </c>
    </row>
    <row r="19" spans="1:63" x14ac:dyDescent="0.3">
      <c r="A19" s="2" t="s">
        <v>37</v>
      </c>
      <c r="B19" s="38">
        <f t="shared" ref="B19:D19" si="43">B64/$D$4</f>
        <v>5.0729999999999997E-2</v>
      </c>
      <c r="C19" s="38">
        <f t="shared" si="43"/>
        <v>2.9749999999999999E-2</v>
      </c>
      <c r="D19" s="38">
        <f t="shared" si="43"/>
        <v>0.10933</v>
      </c>
      <c r="F19" s="2" t="s">
        <v>37</v>
      </c>
      <c r="G19" s="38">
        <f t="shared" ref="G19:J19" si="44">G64/$D$4</f>
        <v>0.39800000000000002</v>
      </c>
      <c r="H19" s="38">
        <f t="shared" si="44"/>
        <v>6.9459999999999997</v>
      </c>
      <c r="I19" s="38">
        <f t="shared" si="44"/>
        <v>2.0148000000000001</v>
      </c>
      <c r="J19" s="38">
        <f t="shared" si="44"/>
        <v>33.383899999999997</v>
      </c>
      <c r="K19" s="23"/>
      <c r="L19" s="25">
        <v>14</v>
      </c>
      <c r="M19" s="46">
        <v>0</v>
      </c>
      <c r="N19" s="46">
        <v>30.232613722630241</v>
      </c>
      <c r="O19" s="46">
        <v>0.91996471006815206</v>
      </c>
      <c r="P19" s="46">
        <v>0</v>
      </c>
      <c r="Q19" s="46">
        <v>0</v>
      </c>
      <c r="R19" s="46">
        <v>0.19811493880358144</v>
      </c>
      <c r="S19" s="46">
        <v>1.7997837918833463E-2</v>
      </c>
      <c r="T19" s="47">
        <v>3.5107739287376711</v>
      </c>
      <c r="U19" s="47">
        <v>1.431337838757325</v>
      </c>
      <c r="V19" s="47">
        <v>1.1646378818044429</v>
      </c>
      <c r="W19" s="47">
        <v>0.78508871660154111</v>
      </c>
      <c r="X19" s="47">
        <v>0.40777635231900011</v>
      </c>
      <c r="Y19" s="47">
        <v>0.68528451147887115</v>
      </c>
      <c r="Z19" s="47">
        <v>0.62941910758395125</v>
      </c>
      <c r="AA19" s="47">
        <v>0.76097119838965677</v>
      </c>
      <c r="AB19" s="47">
        <v>0.63881719043474516</v>
      </c>
      <c r="AC19" s="47">
        <v>0.65535548611056327</v>
      </c>
      <c r="AD19" s="47">
        <v>0.72410039594643705</v>
      </c>
      <c r="AE19" s="47">
        <v>0.75179262039438388</v>
      </c>
      <c r="AF19" s="47">
        <v>0.47519255648627318</v>
      </c>
      <c r="AG19" s="47">
        <v>1.0000000000000007</v>
      </c>
      <c r="AH19" s="47">
        <v>0.88696839479129808</v>
      </c>
      <c r="AI19" s="47">
        <v>1.4313378387573246</v>
      </c>
      <c r="AJ19" s="47">
        <v>1.033135225966455</v>
      </c>
      <c r="AK19" s="47">
        <v>0.53709187233033784</v>
      </c>
      <c r="AL19" s="47">
        <v>0.30486492445516139</v>
      </c>
      <c r="AM19" s="47">
        <v>0.68528451147887137</v>
      </c>
      <c r="AN19" s="47">
        <v>0.4443014679753341</v>
      </c>
      <c r="AO19" s="47">
        <v>0.67059597915958591</v>
      </c>
      <c r="AP19" s="47">
        <v>0.54903453165525296</v>
      </c>
      <c r="AQ19" s="47">
        <v>0.41135326735449984</v>
      </c>
      <c r="AR19" s="47">
        <v>0.69721112127226048</v>
      </c>
      <c r="AS19" s="47">
        <v>0.57466613529343025</v>
      </c>
      <c r="AT19" s="47">
        <v>0.41315439329219517</v>
      </c>
      <c r="AU19" s="47">
        <v>1.0000000000000002</v>
      </c>
      <c r="AV19" s="47">
        <f t="shared" si="5"/>
        <v>0.25264184273756846</v>
      </c>
      <c r="AW19" s="47">
        <f t="shared" si="6"/>
        <v>0.99999999999999967</v>
      </c>
      <c r="AX19" s="47">
        <f t="shared" si="7"/>
        <v>0.88708708698858141</v>
      </c>
      <c r="AY19" s="47">
        <f t="shared" si="8"/>
        <v>0.68411615270090553</v>
      </c>
      <c r="AZ19" s="47">
        <f t="shared" si="9"/>
        <v>0.74762776880368986</v>
      </c>
      <c r="BA19" s="47">
        <f t="shared" si="10"/>
        <v>1.0000000000000002</v>
      </c>
      <c r="BB19" s="47">
        <f t="shared" si="11"/>
        <v>0.70589129345119794</v>
      </c>
      <c r="BC19" s="47">
        <f t="shared" si="12"/>
        <v>0.88123700421077689</v>
      </c>
      <c r="BD19" s="47">
        <f t="shared" si="13"/>
        <v>0.85945484854846987</v>
      </c>
      <c r="BE19" s="47">
        <f t="shared" si="14"/>
        <v>0.62767959690979303</v>
      </c>
      <c r="BF19" s="47">
        <f t="shared" si="15"/>
        <v>0.96286526726859345</v>
      </c>
      <c r="BG19" s="47">
        <f t="shared" si="16"/>
        <v>0.76439448819272182</v>
      </c>
      <c r="BH19" s="47">
        <f t="shared" si="17"/>
        <v>0.86944626478830356</v>
      </c>
      <c r="BI19" s="47">
        <f t="shared" si="18"/>
        <v>0.99999999999999956</v>
      </c>
      <c r="BJ19" s="34">
        <f t="shared" ca="1" si="19"/>
        <v>0.99999999999999956</v>
      </c>
      <c r="BK19" s="6" t="str">
        <f t="shared" ca="1" si="20"/>
        <v>Yes</v>
      </c>
    </row>
    <row r="20" spans="1:63" x14ac:dyDescent="0.3">
      <c r="BJ20" s="11"/>
    </row>
    <row r="21" spans="1:63" s="22" customFormat="1" ht="28.8" x14ac:dyDescent="0.3">
      <c r="A21" s="17" t="s">
        <v>10</v>
      </c>
      <c r="B21" s="73">
        <v>0</v>
      </c>
      <c r="C21" s="73">
        <v>30.232613722630241</v>
      </c>
      <c r="D21" s="73">
        <v>0.91996471006815206</v>
      </c>
      <c r="E21" s="35"/>
      <c r="F21" s="36" t="s">
        <v>11</v>
      </c>
      <c r="G21" s="73">
        <v>0</v>
      </c>
      <c r="H21" s="73">
        <v>0</v>
      </c>
      <c r="I21" s="73">
        <v>0.19811493880358144</v>
      </c>
      <c r="J21" s="73">
        <v>1.7997837918833463E-2</v>
      </c>
      <c r="K21" s="30"/>
      <c r="L21" s="21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8"/>
      <c r="AT21" s="48"/>
      <c r="AU21" s="48"/>
      <c r="AV21" s="48"/>
      <c r="AW21" s="48"/>
      <c r="AX21" s="48"/>
      <c r="AY21" s="48"/>
      <c r="AZ21" s="48"/>
      <c r="BA21" s="48"/>
      <c r="BB21" s="48"/>
      <c r="BC21" s="48"/>
      <c r="BD21" s="48"/>
      <c r="BE21" s="48"/>
      <c r="BF21" s="48"/>
      <c r="BG21" s="48"/>
      <c r="BH21" s="48"/>
      <c r="BI21" s="48"/>
      <c r="BJ21" s="21"/>
      <c r="BK21" s="21"/>
    </row>
    <row r="23" spans="1:63" s="1" customFormat="1" x14ac:dyDescent="0.3">
      <c r="A23" s="1" t="s">
        <v>12</v>
      </c>
      <c r="L23" s="9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9"/>
      <c r="BK23" s="9"/>
    </row>
    <row r="24" spans="1:63" x14ac:dyDescent="0.3">
      <c r="A24" s="3" t="s">
        <v>49</v>
      </c>
      <c r="B24" s="3" t="s">
        <v>5</v>
      </c>
      <c r="D24" s="3" t="s">
        <v>13</v>
      </c>
      <c r="T24" s="44" t="s">
        <v>44</v>
      </c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</row>
    <row r="25" spans="1:63" x14ac:dyDescent="0.3">
      <c r="A25" s="2">
        <v>1</v>
      </c>
      <c r="B25" s="4">
        <f t="shared" ref="B25:B38" si="45">SUMPRODUCT(Unit_costs_of_inputs,B6:D6)</f>
        <v>3.5107739287376711</v>
      </c>
      <c r="C25" s="11" t="s">
        <v>6</v>
      </c>
      <c r="D25" s="4">
        <f>SUMPRODUCT(Unit_prices_of_outputs,G6:J6)</f>
        <v>0.88696839479129808</v>
      </c>
      <c r="T25" s="52">
        <v>1</v>
      </c>
      <c r="U25" s="52">
        <v>2</v>
      </c>
      <c r="V25" s="52">
        <v>3</v>
      </c>
      <c r="W25" s="52">
        <v>4</v>
      </c>
      <c r="X25" s="52">
        <v>5</v>
      </c>
      <c r="Y25" s="52">
        <v>6</v>
      </c>
      <c r="Z25" s="52">
        <v>7</v>
      </c>
      <c r="AA25" s="52">
        <v>8</v>
      </c>
      <c r="AB25" s="52">
        <v>9</v>
      </c>
      <c r="AC25" s="52">
        <v>10</v>
      </c>
      <c r="AD25" s="52">
        <v>11</v>
      </c>
      <c r="AE25" s="52">
        <v>12</v>
      </c>
      <c r="AF25" s="52">
        <v>13</v>
      </c>
      <c r="AG25" s="52">
        <v>14</v>
      </c>
    </row>
    <row r="26" spans="1:63" x14ac:dyDescent="0.3">
      <c r="A26" s="2">
        <v>2</v>
      </c>
      <c r="B26" s="4">
        <f t="shared" si="45"/>
        <v>1.431337838757325</v>
      </c>
      <c r="C26" s="11" t="s">
        <v>6</v>
      </c>
      <c r="D26" s="4">
        <f t="shared" ref="D26:D38" si="46">SUMPRODUCT(Unit_prices_of_outputs,G7:J7)</f>
        <v>1.4313378387573246</v>
      </c>
      <c r="F26" s="1"/>
      <c r="T26" s="47">
        <v>0.88696839479129808</v>
      </c>
      <c r="U26" s="47">
        <v>1.4313378387573246</v>
      </c>
      <c r="V26" s="47">
        <v>1.033135225966455</v>
      </c>
      <c r="W26" s="47">
        <v>0.53709187233033784</v>
      </c>
      <c r="X26" s="47">
        <v>0.30486492445516139</v>
      </c>
      <c r="Y26" s="47">
        <v>0.68528451147887137</v>
      </c>
      <c r="Z26" s="47">
        <v>0.4443014679753341</v>
      </c>
      <c r="AA26" s="47">
        <v>0.67059597915958591</v>
      </c>
      <c r="AB26" s="47">
        <v>0.54903453165525296</v>
      </c>
      <c r="AC26" s="47">
        <v>0.41135326735449984</v>
      </c>
      <c r="AD26" s="47">
        <v>0.69721112127226048</v>
      </c>
      <c r="AE26" s="47">
        <v>0.57466613529343025</v>
      </c>
      <c r="AF26" s="47">
        <v>0.41315439329219517</v>
      </c>
      <c r="AG26" s="47">
        <v>1.0000000000000002</v>
      </c>
      <c r="AH26" s="47"/>
      <c r="AI26" s="47"/>
      <c r="AJ26" s="47"/>
      <c r="AK26" s="47"/>
      <c r="AL26" s="47"/>
      <c r="AM26" s="47"/>
      <c r="AN26" s="47"/>
      <c r="AO26" s="47"/>
      <c r="AP26" s="47"/>
      <c r="AQ26" s="47"/>
      <c r="AR26" s="47"/>
      <c r="AS26" s="47"/>
      <c r="AT26" s="47"/>
      <c r="AU26" s="47"/>
      <c r="AV26" s="47"/>
      <c r="AW26" s="47"/>
      <c r="AX26" s="47"/>
      <c r="AY26" s="47"/>
      <c r="AZ26" s="47"/>
      <c r="BA26" s="47"/>
      <c r="BB26" s="47"/>
      <c r="BC26" s="47"/>
      <c r="BD26" s="47"/>
      <c r="BE26" s="47"/>
      <c r="BF26" s="47"/>
      <c r="BG26" s="47"/>
      <c r="BH26" s="47"/>
      <c r="BI26" s="47"/>
    </row>
    <row r="27" spans="1:63" x14ac:dyDescent="0.3">
      <c r="A27" s="2">
        <v>3</v>
      </c>
      <c r="B27" s="4">
        <f t="shared" si="45"/>
        <v>1.1646378818044429</v>
      </c>
      <c r="C27" s="11" t="s">
        <v>6</v>
      </c>
      <c r="D27" s="4">
        <f t="shared" si="46"/>
        <v>1.033135225966455</v>
      </c>
    </row>
    <row r="28" spans="1:63" x14ac:dyDescent="0.3">
      <c r="A28" s="2">
        <v>4</v>
      </c>
      <c r="B28" s="4">
        <f t="shared" si="45"/>
        <v>0.78508871660154111</v>
      </c>
      <c r="C28" s="11" t="s">
        <v>6</v>
      </c>
      <c r="D28" s="4">
        <f t="shared" si="46"/>
        <v>0.53709187233033784</v>
      </c>
      <c r="E28" s="4"/>
    </row>
    <row r="29" spans="1:63" x14ac:dyDescent="0.3">
      <c r="A29" s="2">
        <v>5</v>
      </c>
      <c r="B29" s="4">
        <f t="shared" si="45"/>
        <v>0.40777635231900011</v>
      </c>
      <c r="C29" s="11" t="s">
        <v>6</v>
      </c>
      <c r="D29" s="4">
        <f t="shared" si="46"/>
        <v>0.30486492445516139</v>
      </c>
      <c r="E29" s="4"/>
    </row>
    <row r="30" spans="1:63" x14ac:dyDescent="0.3">
      <c r="A30" s="2">
        <v>6</v>
      </c>
      <c r="B30" s="4">
        <f t="shared" si="45"/>
        <v>0.68528451147887115</v>
      </c>
      <c r="C30" s="11" t="s">
        <v>6</v>
      </c>
      <c r="D30" s="4">
        <f t="shared" si="46"/>
        <v>0.68528451147887137</v>
      </c>
      <c r="E30" s="4"/>
    </row>
    <row r="31" spans="1:63" x14ac:dyDescent="0.3">
      <c r="A31" s="2">
        <v>7</v>
      </c>
      <c r="B31" s="4">
        <f t="shared" si="45"/>
        <v>0.62941910758395125</v>
      </c>
      <c r="C31" s="11" t="s">
        <v>6</v>
      </c>
      <c r="D31" s="4">
        <f t="shared" si="46"/>
        <v>0.4443014679753341</v>
      </c>
      <c r="E31" s="4"/>
    </row>
    <row r="32" spans="1:63" x14ac:dyDescent="0.3">
      <c r="A32" s="2">
        <v>8</v>
      </c>
      <c r="B32" s="4">
        <f t="shared" si="45"/>
        <v>0.76097119838965677</v>
      </c>
      <c r="C32" s="11" t="s">
        <v>6</v>
      </c>
      <c r="D32" s="4">
        <f t="shared" si="46"/>
        <v>0.67059597915958591</v>
      </c>
      <c r="E32" s="4"/>
    </row>
    <row r="33" spans="1:63" x14ac:dyDescent="0.3">
      <c r="A33" s="2">
        <v>9</v>
      </c>
      <c r="B33" s="4">
        <f t="shared" si="45"/>
        <v>0.63881719043474516</v>
      </c>
      <c r="C33" s="11" t="s">
        <v>6</v>
      </c>
      <c r="D33" s="4">
        <f t="shared" si="46"/>
        <v>0.54903453165525296</v>
      </c>
      <c r="E33" s="4"/>
    </row>
    <row r="34" spans="1:63" x14ac:dyDescent="0.3">
      <c r="A34" s="2">
        <v>10</v>
      </c>
      <c r="B34" s="4">
        <f t="shared" si="45"/>
        <v>0.65535548611056327</v>
      </c>
      <c r="C34" s="11" t="s">
        <v>6</v>
      </c>
      <c r="D34" s="4">
        <f t="shared" si="46"/>
        <v>0.41135326735449984</v>
      </c>
      <c r="E34" s="4"/>
    </row>
    <row r="35" spans="1:63" x14ac:dyDescent="0.3">
      <c r="A35" s="2">
        <v>11</v>
      </c>
      <c r="B35" s="4">
        <f t="shared" si="45"/>
        <v>0.72410039594643705</v>
      </c>
      <c r="C35" s="11" t="s">
        <v>6</v>
      </c>
      <c r="D35" s="4">
        <f t="shared" si="46"/>
        <v>0.69721112127226048</v>
      </c>
      <c r="E35" s="4"/>
    </row>
    <row r="36" spans="1:63" x14ac:dyDescent="0.3">
      <c r="A36" s="2">
        <v>12</v>
      </c>
      <c r="B36" s="4">
        <f t="shared" si="45"/>
        <v>0.75179262039438388</v>
      </c>
      <c r="C36" s="11" t="s">
        <v>6</v>
      </c>
      <c r="D36" s="4">
        <f t="shared" si="46"/>
        <v>0.57466613529343025</v>
      </c>
      <c r="E36" s="4"/>
    </row>
    <row r="37" spans="1:63" x14ac:dyDescent="0.3">
      <c r="A37" s="2">
        <v>13</v>
      </c>
      <c r="B37" s="4">
        <f t="shared" si="45"/>
        <v>0.47519255648627318</v>
      </c>
      <c r="C37" s="11" t="s">
        <v>6</v>
      </c>
      <c r="D37" s="4">
        <f t="shared" si="46"/>
        <v>0.41315439329219517</v>
      </c>
      <c r="E37" s="4"/>
    </row>
    <row r="38" spans="1:63" x14ac:dyDescent="0.3">
      <c r="A38" s="2">
        <v>14</v>
      </c>
      <c r="B38" s="4">
        <f t="shared" si="45"/>
        <v>1.0000000000000007</v>
      </c>
      <c r="C38" s="11" t="s">
        <v>6</v>
      </c>
      <c r="D38" s="4">
        <f t="shared" si="46"/>
        <v>1.0000000000000002</v>
      </c>
      <c r="E38" s="4"/>
    </row>
    <row r="39" spans="1:63" x14ac:dyDescent="0.3">
      <c r="B39" s="4"/>
    </row>
    <row r="40" spans="1:63" s="1" customFormat="1" ht="18" customHeight="1" x14ac:dyDescent="0.3">
      <c r="A40" s="1" t="s">
        <v>50</v>
      </c>
      <c r="L40" s="9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9"/>
      <c r="BK40" s="9"/>
    </row>
    <row r="41" spans="1:63" ht="18" customHeight="1" x14ac:dyDescent="0.3">
      <c r="A41" s="2" t="s">
        <v>57</v>
      </c>
      <c r="B41" s="4">
        <f>VLOOKUP(Selected_store,A25:B38,2,FALSE)</f>
        <v>1.0000000000000007</v>
      </c>
      <c r="C41" s="7" t="s">
        <v>7</v>
      </c>
      <c r="D41" s="2">
        <v>1</v>
      </c>
    </row>
    <row r="42" spans="1:63" ht="18" customHeight="1" x14ac:dyDescent="0.3">
      <c r="C42" s="7"/>
      <c r="D42" s="7"/>
    </row>
    <row r="43" spans="1:63" ht="18" customHeight="1" x14ac:dyDescent="0.3">
      <c r="A43" s="1" t="s">
        <v>51</v>
      </c>
      <c r="C43" s="7"/>
      <c r="D43" s="7"/>
      <c r="F43" s="7"/>
    </row>
    <row r="44" spans="1:63" ht="18" customHeight="1" x14ac:dyDescent="0.3">
      <c r="A44" s="5" t="s">
        <v>58</v>
      </c>
      <c r="B44" s="8">
        <f>VLOOKUP(Selected_store,A25:D38,4, FALSE)</f>
        <v>1.0000000000000002</v>
      </c>
      <c r="T44" s="31">
        <v>2.5676016397710693</v>
      </c>
      <c r="U44" s="31">
        <v>1.0932686923513744</v>
      </c>
      <c r="V44" s="31">
        <v>0.85680030674352636</v>
      </c>
      <c r="W44" s="31">
        <v>0.79309732261705002</v>
      </c>
      <c r="X44" s="31">
        <v>0.57707551052835671</v>
      </c>
      <c r="Y44" s="31">
        <v>0.58729814925770518</v>
      </c>
      <c r="Z44" s="31">
        <v>0.61158874819336795</v>
      </c>
      <c r="AA44" s="31">
        <v>0.62421772381090912</v>
      </c>
      <c r="AB44" s="31">
        <v>0.62068008114320872</v>
      </c>
      <c r="AC44" s="31">
        <v>0.5500240749757892</v>
      </c>
      <c r="AD44" s="31">
        <v>0.65229279429325304</v>
      </c>
      <c r="AE44" s="44">
        <v>0.75869202073617603</v>
      </c>
      <c r="AF44" s="31">
        <v>0.58450582546128171</v>
      </c>
      <c r="AG44" s="31">
        <v>1.0000000000000004</v>
      </c>
    </row>
    <row r="45" spans="1:63" x14ac:dyDescent="0.3">
      <c r="T45" s="31" t="s">
        <v>6</v>
      </c>
      <c r="U45" s="31" t="s">
        <v>6</v>
      </c>
      <c r="V45" s="31" t="s">
        <v>6</v>
      </c>
      <c r="W45" s="31" t="s">
        <v>6</v>
      </c>
      <c r="X45" s="31" t="s">
        <v>6</v>
      </c>
      <c r="Y45" s="31" t="s">
        <v>6</v>
      </c>
      <c r="Z45" s="31" t="s">
        <v>6</v>
      </c>
      <c r="AA45" s="31" t="s">
        <v>6</v>
      </c>
      <c r="AB45" s="31" t="s">
        <v>6</v>
      </c>
      <c r="AC45" s="31" t="s">
        <v>6</v>
      </c>
      <c r="AD45" s="31" t="s">
        <v>6</v>
      </c>
      <c r="AE45" s="44" t="s">
        <v>6</v>
      </c>
      <c r="AF45" s="31" t="s">
        <v>6</v>
      </c>
      <c r="AG45" s="31" t="s">
        <v>6</v>
      </c>
    </row>
    <row r="46" spans="1:63" x14ac:dyDescent="0.3">
      <c r="T46" s="31">
        <v>2.0800747145107352</v>
      </c>
      <c r="U46" s="31">
        <v>1.0932686923513741</v>
      </c>
      <c r="V46" s="31">
        <v>0.85680030674352625</v>
      </c>
      <c r="W46" s="31">
        <v>0.60966129130672386</v>
      </c>
      <c r="X46" s="31">
        <v>0.27919202344229516</v>
      </c>
      <c r="Y46" s="31">
        <v>0.58729814925770518</v>
      </c>
      <c r="Z46" s="31">
        <v>0.40336168785819659</v>
      </c>
      <c r="AA46" s="31">
        <v>0.53501660183934707</v>
      </c>
      <c r="AB46" s="31">
        <v>0.5008105265116809</v>
      </c>
      <c r="AC46" s="31">
        <v>0.43269516168969646</v>
      </c>
      <c r="AD46" s="31">
        <v>0.4616930279968281</v>
      </c>
      <c r="AE46" s="44">
        <v>0.48038451758513551</v>
      </c>
      <c r="AF46" s="31">
        <v>0.25247547748379345</v>
      </c>
      <c r="AG46" s="31">
        <v>0.67696573301761132</v>
      </c>
    </row>
    <row r="47" spans="1:63" x14ac:dyDescent="0.3">
      <c r="T47" s="31">
        <f>T19-T44</f>
        <v>0.94317228896660188</v>
      </c>
      <c r="U47" s="31">
        <f t="shared" ref="U47:AG47" si="47">U19-U44</f>
        <v>0.33806914640595065</v>
      </c>
      <c r="V47" s="31">
        <f t="shared" si="47"/>
        <v>0.30783757506091658</v>
      </c>
      <c r="W47" s="31">
        <f t="shared" si="47"/>
        <v>-8.0086060155089012E-3</v>
      </c>
      <c r="X47" s="31">
        <f t="shared" si="47"/>
        <v>-0.16929915820935659</v>
      </c>
      <c r="Y47" s="31">
        <f t="shared" si="47"/>
        <v>9.7986362221165968E-2</v>
      </c>
      <c r="Z47" s="31">
        <f t="shared" si="47"/>
        <v>1.7830359390583306E-2</v>
      </c>
      <c r="AA47" s="31">
        <f t="shared" si="47"/>
        <v>0.13675347457874765</v>
      </c>
      <c r="AB47" s="31">
        <f t="shared" si="47"/>
        <v>1.8137109291536446E-2</v>
      </c>
      <c r="AC47" s="31">
        <f t="shared" si="47"/>
        <v>0.10533141113477407</v>
      </c>
      <c r="AD47" s="31">
        <f t="shared" si="47"/>
        <v>7.1807601653184006E-2</v>
      </c>
      <c r="AE47" s="31">
        <f t="shared" si="47"/>
        <v>-6.8994003417921501E-3</v>
      </c>
      <c r="AF47" s="31">
        <f t="shared" si="47"/>
        <v>-0.10931326897500854</v>
      </c>
      <c r="AG47" s="31">
        <f t="shared" si="47"/>
        <v>0</v>
      </c>
    </row>
    <row r="49" spans="1:11" x14ac:dyDescent="0.3">
      <c r="A49" s="2">
        <v>1</v>
      </c>
      <c r="B49" s="2">
        <v>2</v>
      </c>
      <c r="C49" s="2">
        <v>3</v>
      </c>
      <c r="D49" s="2">
        <v>4</v>
      </c>
      <c r="E49" s="2">
        <v>5</v>
      </c>
      <c r="F49" s="2">
        <v>6</v>
      </c>
      <c r="G49" s="2">
        <v>7</v>
      </c>
      <c r="H49" s="2">
        <v>8</v>
      </c>
      <c r="I49" s="2">
        <v>9</v>
      </c>
      <c r="J49" s="2">
        <v>10</v>
      </c>
      <c r="K49" s="2">
        <v>11</v>
      </c>
    </row>
    <row r="50" spans="1:11" ht="43.2" x14ac:dyDescent="0.3">
      <c r="A50" s="17" t="s">
        <v>9</v>
      </c>
      <c r="B50" s="18" t="s">
        <v>21</v>
      </c>
      <c r="C50" s="18" t="s">
        <v>22</v>
      </c>
      <c r="D50" s="18" t="s">
        <v>23</v>
      </c>
      <c r="E50" s="18"/>
      <c r="F50" s="19" t="s">
        <v>8</v>
      </c>
      <c r="G50" s="18" t="s">
        <v>38</v>
      </c>
      <c r="H50" s="20" t="s">
        <v>39</v>
      </c>
      <c r="I50" s="20" t="s">
        <v>40</v>
      </c>
      <c r="J50" s="20" t="s">
        <v>41</v>
      </c>
      <c r="K50" s="58">
        <f>BJ5</f>
        <v>0</v>
      </c>
    </row>
    <row r="51" spans="1:11" x14ac:dyDescent="0.3">
      <c r="A51" s="25">
        <v>1</v>
      </c>
      <c r="B51" s="15">
        <v>9333</v>
      </c>
      <c r="C51" s="16">
        <v>10725</v>
      </c>
      <c r="D51" s="16">
        <v>29167</v>
      </c>
      <c r="F51" s="25">
        <v>1</v>
      </c>
      <c r="G51" s="16">
        <v>96800</v>
      </c>
      <c r="H51" s="16">
        <v>4139100</v>
      </c>
      <c r="I51" s="16">
        <v>179580</v>
      </c>
      <c r="J51" s="15">
        <v>2951430</v>
      </c>
      <c r="K51" s="31">
        <f t="shared" ref="K51:K64" ca="1" si="48">BJ6</f>
        <v>1.0000000000000002</v>
      </c>
    </row>
    <row r="52" spans="1:11" x14ac:dyDescent="0.3">
      <c r="A52" s="25">
        <v>2</v>
      </c>
      <c r="B52" s="15">
        <v>3253</v>
      </c>
      <c r="C52" s="16">
        <v>4350</v>
      </c>
      <c r="D52" s="16">
        <v>12633</v>
      </c>
      <c r="F52" s="25">
        <v>2</v>
      </c>
      <c r="G52" s="16">
        <v>76800</v>
      </c>
      <c r="H52" s="16">
        <v>1685500</v>
      </c>
      <c r="I52" s="16">
        <v>419340</v>
      </c>
      <c r="J52" s="15">
        <v>3336860</v>
      </c>
      <c r="K52" s="31">
        <f t="shared" ca="1" si="48"/>
        <v>0.99999999999999978</v>
      </c>
    </row>
    <row r="53" spans="1:11" x14ac:dyDescent="0.3">
      <c r="A53" s="25">
        <v>3</v>
      </c>
      <c r="B53" s="15">
        <v>2440</v>
      </c>
      <c r="C53" s="16">
        <v>3550</v>
      </c>
      <c r="D53" s="16">
        <v>9933</v>
      </c>
      <c r="F53" s="25">
        <v>3</v>
      </c>
      <c r="G53" s="16">
        <v>41800</v>
      </c>
      <c r="H53" s="16">
        <v>1058900</v>
      </c>
      <c r="I53" s="16">
        <v>197160</v>
      </c>
      <c r="J53" s="15">
        <v>3570050</v>
      </c>
      <c r="K53" s="31">
        <f t="shared" ca="1" si="48"/>
        <v>0.99999999999999978</v>
      </c>
    </row>
    <row r="54" spans="1:11" x14ac:dyDescent="0.3">
      <c r="A54" s="25">
        <v>4</v>
      </c>
      <c r="B54" s="15">
        <v>3140</v>
      </c>
      <c r="C54" s="16">
        <v>2325</v>
      </c>
      <c r="D54" s="16">
        <v>8933</v>
      </c>
      <c r="F54" s="25">
        <v>4</v>
      </c>
      <c r="G54" s="16">
        <v>31400</v>
      </c>
      <c r="H54" s="16">
        <v>879400</v>
      </c>
      <c r="I54" s="16">
        <v>82020</v>
      </c>
      <c r="J54" s="16">
        <v>2081350</v>
      </c>
      <c r="K54" s="31">
        <f t="shared" ca="1" si="48"/>
        <v>0.999999999999999</v>
      </c>
    </row>
    <row r="55" spans="1:11" x14ac:dyDescent="0.3">
      <c r="A55" s="25">
        <v>5</v>
      </c>
      <c r="B55" s="15">
        <v>2173</v>
      </c>
      <c r="C55" s="16">
        <v>1150</v>
      </c>
      <c r="D55" s="16">
        <v>6533</v>
      </c>
      <c r="F55" s="25">
        <v>5</v>
      </c>
      <c r="G55" s="16">
        <v>9200</v>
      </c>
      <c r="H55" s="16">
        <v>370900</v>
      </c>
      <c r="I55" s="16">
        <v>56760</v>
      </c>
      <c r="J55" s="16">
        <v>1069100</v>
      </c>
      <c r="K55" s="31">
        <f t="shared" ca="1" si="48"/>
        <v>0.90411389915704399</v>
      </c>
    </row>
    <row r="56" spans="1:11" x14ac:dyDescent="0.3">
      <c r="A56" s="25">
        <v>6</v>
      </c>
      <c r="B56" s="15">
        <v>3387</v>
      </c>
      <c r="C56" s="16">
        <v>2075</v>
      </c>
      <c r="D56" s="16">
        <v>6300</v>
      </c>
      <c r="F56" s="25">
        <v>6</v>
      </c>
      <c r="G56" s="16">
        <v>54400</v>
      </c>
      <c r="H56" s="16">
        <v>667400</v>
      </c>
      <c r="I56" s="16">
        <v>104250</v>
      </c>
      <c r="J56" s="16">
        <v>2660040</v>
      </c>
      <c r="K56" s="31">
        <f t="shared" ca="1" si="48"/>
        <v>1</v>
      </c>
    </row>
    <row r="57" spans="1:11" x14ac:dyDescent="0.3">
      <c r="A57" s="25">
        <v>7</v>
      </c>
      <c r="B57" s="15">
        <v>2720</v>
      </c>
      <c r="C57" s="16">
        <v>1875</v>
      </c>
      <c r="D57" s="16">
        <v>6800</v>
      </c>
      <c r="F57" s="25">
        <v>7</v>
      </c>
      <c r="G57" s="16">
        <v>10600</v>
      </c>
      <c r="H57" s="16">
        <v>465700</v>
      </c>
      <c r="I57" s="16">
        <v>60720</v>
      </c>
      <c r="J57" s="16">
        <v>1800250</v>
      </c>
      <c r="K57" s="31">
        <f t="shared" ca="1" si="48"/>
        <v>0.78211041685200178</v>
      </c>
    </row>
    <row r="58" spans="1:11" x14ac:dyDescent="0.3">
      <c r="A58" s="25">
        <v>8</v>
      </c>
      <c r="B58" s="15">
        <v>2127</v>
      </c>
      <c r="C58" s="16">
        <v>2300</v>
      </c>
      <c r="D58" s="16">
        <v>7133</v>
      </c>
      <c r="F58" s="25">
        <v>8</v>
      </c>
      <c r="G58" s="16">
        <v>50000</v>
      </c>
      <c r="H58" s="16">
        <v>642700</v>
      </c>
      <c r="I58" s="16">
        <v>129840</v>
      </c>
      <c r="J58" s="16">
        <v>2296740</v>
      </c>
      <c r="K58" s="31">
        <f t="shared" ca="1" si="48"/>
        <v>0.9838805163547989</v>
      </c>
    </row>
    <row r="59" spans="1:11" x14ac:dyDescent="0.3">
      <c r="A59" s="25">
        <v>9</v>
      </c>
      <c r="B59" s="15">
        <v>2427</v>
      </c>
      <c r="C59" s="16">
        <v>1900</v>
      </c>
      <c r="D59" s="16">
        <v>7000</v>
      </c>
      <c r="F59" s="25">
        <v>9</v>
      </c>
      <c r="G59" s="16">
        <v>81400</v>
      </c>
      <c r="H59" s="16">
        <v>647700</v>
      </c>
      <c r="I59" s="16">
        <v>97080</v>
      </c>
      <c r="J59" s="16">
        <v>1981930</v>
      </c>
      <c r="K59" s="31">
        <f t="shared" ca="1" si="48"/>
        <v>0.99999999999999978</v>
      </c>
    </row>
    <row r="60" spans="1:11" x14ac:dyDescent="0.3">
      <c r="A60" s="25">
        <v>10</v>
      </c>
      <c r="B60" s="15">
        <v>1713</v>
      </c>
      <c r="C60" s="16">
        <v>1975</v>
      </c>
      <c r="D60" s="16">
        <v>6333</v>
      </c>
      <c r="F60" s="25">
        <v>10</v>
      </c>
      <c r="G60" s="16">
        <v>14400</v>
      </c>
      <c r="H60" s="16">
        <v>402500</v>
      </c>
      <c r="I60" s="16">
        <v>60</v>
      </c>
      <c r="J60" s="16">
        <v>2284910</v>
      </c>
      <c r="K60" s="31">
        <f t="shared" ca="1" si="48"/>
        <v>0.99999999999999978</v>
      </c>
    </row>
    <row r="61" spans="1:11" x14ac:dyDescent="0.3">
      <c r="A61" s="25">
        <v>11</v>
      </c>
      <c r="B61" s="15">
        <v>2967</v>
      </c>
      <c r="C61" s="16">
        <v>2175</v>
      </c>
      <c r="D61" s="16">
        <v>7233</v>
      </c>
      <c r="F61" s="25">
        <v>11</v>
      </c>
      <c r="G61" s="16">
        <v>21000</v>
      </c>
      <c r="H61" s="16">
        <v>482400</v>
      </c>
      <c r="I61" s="16">
        <v>147960</v>
      </c>
      <c r="J61" s="16">
        <v>2245160</v>
      </c>
      <c r="K61" s="31">
        <f t="shared" ca="1" si="48"/>
        <v>0.96683852756150557</v>
      </c>
    </row>
    <row r="62" spans="1:11" x14ac:dyDescent="0.3">
      <c r="A62" s="25">
        <v>12</v>
      </c>
      <c r="B62" s="15">
        <v>2820</v>
      </c>
      <c r="C62" s="16">
        <v>2225</v>
      </c>
      <c r="D62" s="16">
        <v>8600</v>
      </c>
      <c r="F62" s="25">
        <v>12</v>
      </c>
      <c r="G62" s="16">
        <v>18800</v>
      </c>
      <c r="H62" s="16">
        <v>511000</v>
      </c>
      <c r="I62" s="16">
        <v>80850</v>
      </c>
      <c r="J62" s="16">
        <v>2303000</v>
      </c>
      <c r="K62" s="31">
        <f t="shared" ca="1" si="48"/>
        <v>0.86686213769187803</v>
      </c>
    </row>
    <row r="63" spans="1:11" x14ac:dyDescent="0.3">
      <c r="A63" s="25">
        <v>13</v>
      </c>
      <c r="B63" s="15">
        <v>2707</v>
      </c>
      <c r="C63" s="16">
        <v>1375</v>
      </c>
      <c r="D63" s="16">
        <v>6467</v>
      </c>
      <c r="F63" s="25">
        <v>13</v>
      </c>
      <c r="G63" s="16">
        <v>16800</v>
      </c>
      <c r="H63" s="16">
        <v>287400</v>
      </c>
      <c r="I63" s="16">
        <v>104820</v>
      </c>
      <c r="J63" s="16">
        <v>1141750</v>
      </c>
      <c r="K63" s="31">
        <f t="shared" ca="1" si="48"/>
        <v>0.90491309032120881</v>
      </c>
    </row>
    <row r="64" spans="1:11" x14ac:dyDescent="0.3">
      <c r="A64" s="25">
        <v>14</v>
      </c>
      <c r="B64" s="15">
        <v>5073</v>
      </c>
      <c r="C64" s="16">
        <v>2975</v>
      </c>
      <c r="D64" s="16">
        <v>10933</v>
      </c>
      <c r="F64" s="25">
        <v>14</v>
      </c>
      <c r="G64" s="16">
        <v>39800</v>
      </c>
      <c r="H64" s="16">
        <v>694600</v>
      </c>
      <c r="I64" s="16">
        <v>201480</v>
      </c>
      <c r="J64" s="16">
        <v>3338390</v>
      </c>
      <c r="K64" s="31">
        <f t="shared" ca="1" si="48"/>
        <v>0.99999999999999956</v>
      </c>
    </row>
  </sheetData>
  <phoneticPr fontId="1" type="noConversion"/>
  <printOptions headings="1" gridLines="1" gridLinesSet="0"/>
  <pageMargins left="0.75" right="0.75" top="1" bottom="1" header="0.5" footer="0.5"/>
  <pageSetup scale="11" orientation="portrait" horizontalDpi="4294967292" verticalDpi="1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N46"/>
  <sheetViews>
    <sheetView zoomScale="108" workbookViewId="0">
      <pane xSplit="2" ySplit="2" topLeftCell="C28" activePane="bottomRight" state="frozen"/>
      <selection pane="topRight" activeCell="C1" sqref="C1"/>
      <selection pane="bottomLeft" activeCell="A3" sqref="A3"/>
      <selection pane="bottomRight" activeCell="H50" sqref="H50"/>
    </sheetView>
  </sheetViews>
  <sheetFormatPr defaultRowHeight="13.2" x14ac:dyDescent="0.25"/>
  <cols>
    <col min="1" max="1" width="11.5546875" style="13" customWidth="1"/>
    <col min="2" max="2" width="19.44140625" style="102" customWidth="1"/>
    <col min="3" max="10" width="13.109375" style="61" customWidth="1"/>
    <col min="11" max="11" width="11" style="43" customWidth="1"/>
    <col min="12" max="12" width="8.88671875" style="71"/>
    <col min="14" max="14" width="10.44140625" style="89" customWidth="1"/>
  </cols>
  <sheetData>
    <row r="1" spans="1:14" s="72" customFormat="1" x14ac:dyDescent="0.25">
      <c r="A1" s="64"/>
      <c r="B1" s="99"/>
      <c r="C1" s="70" t="s">
        <v>63</v>
      </c>
      <c r="D1" s="70"/>
      <c r="E1" s="70"/>
      <c r="F1" s="91"/>
      <c r="G1" s="70" t="s">
        <v>64</v>
      </c>
      <c r="H1" s="70"/>
      <c r="I1" s="70"/>
      <c r="J1" s="70"/>
      <c r="K1" s="76"/>
      <c r="L1" s="71"/>
      <c r="N1" s="83"/>
    </row>
    <row r="2" spans="1:14" s="62" customFormat="1" ht="30" customHeight="1" x14ac:dyDescent="0.3">
      <c r="A2" s="63" t="s">
        <v>60</v>
      </c>
      <c r="B2" s="19" t="s">
        <v>56</v>
      </c>
      <c r="C2" s="84" t="s">
        <v>21</v>
      </c>
      <c r="D2" s="84" t="s">
        <v>22</v>
      </c>
      <c r="E2" s="84" t="s">
        <v>23</v>
      </c>
      <c r="F2" s="84"/>
      <c r="G2" s="84" t="s">
        <v>38</v>
      </c>
      <c r="H2" s="85" t="s">
        <v>39</v>
      </c>
      <c r="I2" s="85" t="s">
        <v>40</v>
      </c>
      <c r="J2" s="85" t="s">
        <v>41</v>
      </c>
      <c r="K2" s="96" t="s">
        <v>18</v>
      </c>
      <c r="L2" s="77"/>
      <c r="N2" s="86" t="s">
        <v>15</v>
      </c>
    </row>
    <row r="3" spans="1:14" ht="14.4" x14ac:dyDescent="0.3">
      <c r="A3" s="66">
        <v>1</v>
      </c>
      <c r="B3" s="100" t="s">
        <v>24</v>
      </c>
      <c r="C3" s="67">
        <v>9333</v>
      </c>
      <c r="D3" s="67">
        <v>10725</v>
      </c>
      <c r="E3" s="67">
        <v>29167</v>
      </c>
      <c r="F3" s="67"/>
      <c r="G3" s="67">
        <v>96800</v>
      </c>
      <c r="H3" s="67">
        <v>4139100</v>
      </c>
      <c r="I3" s="67">
        <v>179580</v>
      </c>
      <c r="J3" s="67">
        <v>2951430</v>
      </c>
      <c r="K3" s="97">
        <v>1.0000000000000002</v>
      </c>
      <c r="L3" s="78" t="str">
        <f>IF(K3=1, "Yes", "No")</f>
        <v>Yes</v>
      </c>
      <c r="M3" s="65"/>
      <c r="N3" s="87">
        <v>0</v>
      </c>
    </row>
    <row r="4" spans="1:14" ht="14.4" x14ac:dyDescent="0.3">
      <c r="A4" s="66">
        <v>2</v>
      </c>
      <c r="B4" s="100" t="s">
        <v>29</v>
      </c>
      <c r="C4" s="67">
        <v>3387</v>
      </c>
      <c r="D4" s="67">
        <v>2075</v>
      </c>
      <c r="E4" s="67">
        <v>6300</v>
      </c>
      <c r="F4" s="67"/>
      <c r="G4" s="67">
        <v>54400</v>
      </c>
      <c r="H4" s="67">
        <v>667400</v>
      </c>
      <c r="I4" s="67">
        <v>104250</v>
      </c>
      <c r="J4" s="67">
        <v>2660040</v>
      </c>
      <c r="K4" s="97">
        <v>1</v>
      </c>
      <c r="L4" s="78" t="str">
        <f t="shared" ref="L4:L16" si="0">IF(K4=1, "Yes", "No")</f>
        <v>Yes</v>
      </c>
      <c r="M4" s="65"/>
      <c r="N4" s="87">
        <v>8.1705249970277338E-2</v>
      </c>
    </row>
    <row r="5" spans="1:14" ht="14.4" x14ac:dyDescent="0.3">
      <c r="A5" s="66">
        <v>3</v>
      </c>
      <c r="B5" s="100" t="s">
        <v>25</v>
      </c>
      <c r="C5" s="67">
        <v>3253</v>
      </c>
      <c r="D5" s="67">
        <v>4350</v>
      </c>
      <c r="E5" s="67">
        <v>12633</v>
      </c>
      <c r="F5" s="67"/>
      <c r="G5" s="67">
        <v>76800</v>
      </c>
      <c r="H5" s="67">
        <v>1685500</v>
      </c>
      <c r="I5" s="67">
        <v>419340</v>
      </c>
      <c r="J5" s="67">
        <v>3336860</v>
      </c>
      <c r="K5" s="97">
        <v>0.99999999999999978</v>
      </c>
      <c r="L5" s="78" t="str">
        <f t="shared" si="0"/>
        <v>Yes</v>
      </c>
      <c r="M5" s="65"/>
      <c r="N5" s="87">
        <v>0.17239606466029483</v>
      </c>
    </row>
    <row r="6" spans="1:14" ht="14.4" x14ac:dyDescent="0.3">
      <c r="A6" s="66">
        <v>4</v>
      </c>
      <c r="B6" s="100" t="s">
        <v>26</v>
      </c>
      <c r="C6" s="67">
        <v>2440</v>
      </c>
      <c r="D6" s="67">
        <v>3550</v>
      </c>
      <c r="E6" s="67">
        <v>9933</v>
      </c>
      <c r="F6" s="67"/>
      <c r="G6" s="67">
        <v>41800</v>
      </c>
      <c r="H6" s="67">
        <v>1058900</v>
      </c>
      <c r="I6" s="67">
        <v>197160</v>
      </c>
      <c r="J6" s="67">
        <v>3570050</v>
      </c>
      <c r="K6" s="97">
        <v>0.99999999999999978</v>
      </c>
      <c r="L6" s="78" t="str">
        <f t="shared" si="0"/>
        <v>Yes</v>
      </c>
      <c r="M6" s="65"/>
      <c r="N6" s="87">
        <v>0</v>
      </c>
    </row>
    <row r="7" spans="1:14" ht="14.4" x14ac:dyDescent="0.3">
      <c r="A7" s="66">
        <v>5</v>
      </c>
      <c r="B7" s="100" t="s">
        <v>32</v>
      </c>
      <c r="C7" s="67">
        <v>2427</v>
      </c>
      <c r="D7" s="67">
        <v>1900</v>
      </c>
      <c r="E7" s="67">
        <v>7000</v>
      </c>
      <c r="F7" s="67"/>
      <c r="G7" s="67">
        <v>81400</v>
      </c>
      <c r="H7" s="67">
        <v>647700</v>
      </c>
      <c r="I7" s="67">
        <v>97080</v>
      </c>
      <c r="J7" s="67">
        <v>1981930</v>
      </c>
      <c r="K7" s="97">
        <v>0.99999999999999978</v>
      </c>
      <c r="L7" s="78" t="str">
        <f t="shared" si="0"/>
        <v>Yes</v>
      </c>
      <c r="M7" s="65"/>
      <c r="N7" s="87">
        <v>0</v>
      </c>
    </row>
    <row r="8" spans="1:14" ht="14.4" x14ac:dyDescent="0.3">
      <c r="A8" s="66">
        <v>6</v>
      </c>
      <c r="B8" s="100" t="s">
        <v>33</v>
      </c>
      <c r="C8" s="67">
        <v>1713</v>
      </c>
      <c r="D8" s="67">
        <v>1975</v>
      </c>
      <c r="E8" s="67">
        <v>6333</v>
      </c>
      <c r="F8" s="67"/>
      <c r="G8" s="67">
        <v>14400</v>
      </c>
      <c r="H8" s="67">
        <v>402500</v>
      </c>
      <c r="I8" s="67">
        <v>60</v>
      </c>
      <c r="J8" s="67">
        <v>2284910</v>
      </c>
      <c r="K8" s="97">
        <v>0.99999999999999978</v>
      </c>
      <c r="L8" s="78" t="str">
        <f t="shared" si="0"/>
        <v>Yes</v>
      </c>
      <c r="M8" s="65"/>
      <c r="N8" s="87">
        <v>0.66103226584273</v>
      </c>
    </row>
    <row r="9" spans="1:14" ht="14.4" x14ac:dyDescent="0.3">
      <c r="A9" s="66">
        <v>7</v>
      </c>
      <c r="B9" s="100" t="s">
        <v>37</v>
      </c>
      <c r="C9" s="67">
        <v>5073</v>
      </c>
      <c r="D9" s="67">
        <v>2975</v>
      </c>
      <c r="E9" s="67">
        <v>10933</v>
      </c>
      <c r="F9" s="67"/>
      <c r="G9" s="67">
        <v>39800</v>
      </c>
      <c r="H9" s="67">
        <v>694600</v>
      </c>
      <c r="I9" s="67">
        <v>201480</v>
      </c>
      <c r="J9" s="67">
        <v>3338390</v>
      </c>
      <c r="K9" s="97">
        <v>0.99999999999999956</v>
      </c>
      <c r="L9" s="78" t="str">
        <f t="shared" si="0"/>
        <v>Yes</v>
      </c>
      <c r="M9" s="65"/>
      <c r="N9" s="87">
        <v>0</v>
      </c>
    </row>
    <row r="10" spans="1:14" ht="14.4" x14ac:dyDescent="0.3">
      <c r="A10" s="13">
        <v>8</v>
      </c>
      <c r="B10" s="5" t="s">
        <v>27</v>
      </c>
      <c r="C10" s="59">
        <v>3140</v>
      </c>
      <c r="D10" s="59">
        <v>2325</v>
      </c>
      <c r="E10" s="59">
        <v>8933</v>
      </c>
      <c r="F10" s="59"/>
      <c r="G10" s="59">
        <v>31400</v>
      </c>
      <c r="H10" s="59">
        <v>879400</v>
      </c>
      <c r="I10" s="59">
        <v>82020</v>
      </c>
      <c r="J10" s="59">
        <v>2081350</v>
      </c>
      <c r="K10" s="41">
        <v>0.999999999999999</v>
      </c>
      <c r="L10" s="79" t="str">
        <f t="shared" si="0"/>
        <v>No</v>
      </c>
      <c r="M10" s="65"/>
      <c r="N10" s="88"/>
    </row>
    <row r="11" spans="1:14" ht="14.4" x14ac:dyDescent="0.3">
      <c r="A11" s="13">
        <v>9</v>
      </c>
      <c r="B11" s="5" t="s">
        <v>31</v>
      </c>
      <c r="C11" s="59">
        <v>2127</v>
      </c>
      <c r="D11" s="59">
        <v>2300</v>
      </c>
      <c r="E11" s="59">
        <v>7133</v>
      </c>
      <c r="F11" s="59"/>
      <c r="G11" s="59">
        <v>50000</v>
      </c>
      <c r="H11" s="59">
        <v>642700</v>
      </c>
      <c r="I11" s="59">
        <v>129840</v>
      </c>
      <c r="J11" s="59">
        <v>2296740</v>
      </c>
      <c r="K11" s="41">
        <v>0.9838805163547989</v>
      </c>
      <c r="L11" s="79" t="str">
        <f t="shared" si="0"/>
        <v>No</v>
      </c>
      <c r="M11" s="65"/>
    </row>
    <row r="12" spans="1:14" ht="14.4" x14ac:dyDescent="0.3">
      <c r="A12" s="13">
        <v>10</v>
      </c>
      <c r="B12" s="5" t="s">
        <v>34</v>
      </c>
      <c r="C12" s="59">
        <v>2967</v>
      </c>
      <c r="D12" s="59">
        <v>2175</v>
      </c>
      <c r="E12" s="59">
        <v>7233</v>
      </c>
      <c r="F12" s="59"/>
      <c r="G12" s="59">
        <v>21000</v>
      </c>
      <c r="H12" s="59">
        <v>482400</v>
      </c>
      <c r="I12" s="59">
        <v>147960</v>
      </c>
      <c r="J12" s="59">
        <v>2245160</v>
      </c>
      <c r="K12" s="41">
        <v>0.96683852756150557</v>
      </c>
      <c r="L12" s="79" t="str">
        <f t="shared" si="0"/>
        <v>No</v>
      </c>
      <c r="M12" s="65"/>
    </row>
    <row r="13" spans="1:14" ht="14.4" x14ac:dyDescent="0.3">
      <c r="A13" s="13">
        <v>11</v>
      </c>
      <c r="B13" s="5" t="s">
        <v>36</v>
      </c>
      <c r="C13" s="59">
        <v>2707</v>
      </c>
      <c r="D13" s="59">
        <v>1375</v>
      </c>
      <c r="E13" s="59">
        <v>6467</v>
      </c>
      <c r="F13" s="59"/>
      <c r="G13" s="59">
        <v>16800</v>
      </c>
      <c r="H13" s="59">
        <v>287400</v>
      </c>
      <c r="I13" s="59">
        <v>104820</v>
      </c>
      <c r="J13" s="59">
        <v>1141750</v>
      </c>
      <c r="K13" s="41">
        <v>0.90491309032120881</v>
      </c>
      <c r="L13" s="79" t="str">
        <f t="shared" si="0"/>
        <v>No</v>
      </c>
      <c r="M13" s="65"/>
    </row>
    <row r="14" spans="1:14" ht="14.4" x14ac:dyDescent="0.3">
      <c r="A14" s="13">
        <v>12</v>
      </c>
      <c r="B14" s="5" t="s">
        <v>28</v>
      </c>
      <c r="C14" s="59">
        <v>2173</v>
      </c>
      <c r="D14" s="59">
        <v>1150</v>
      </c>
      <c r="E14" s="59">
        <v>6533</v>
      </c>
      <c r="F14" s="59"/>
      <c r="G14" s="59">
        <v>9200</v>
      </c>
      <c r="H14" s="59">
        <v>370900</v>
      </c>
      <c r="I14" s="59">
        <v>56760</v>
      </c>
      <c r="J14" s="59">
        <v>1069100</v>
      </c>
      <c r="K14" s="41">
        <v>0.90411389915704399</v>
      </c>
      <c r="L14" s="79" t="str">
        <f t="shared" si="0"/>
        <v>No</v>
      </c>
      <c r="M14" s="65"/>
    </row>
    <row r="15" spans="1:14" ht="14.4" x14ac:dyDescent="0.3">
      <c r="A15" s="13">
        <v>13</v>
      </c>
      <c r="B15" s="5" t="s">
        <v>35</v>
      </c>
      <c r="C15" s="59">
        <v>2820</v>
      </c>
      <c r="D15" s="59">
        <v>2225</v>
      </c>
      <c r="E15" s="59">
        <v>8600</v>
      </c>
      <c r="F15" s="59"/>
      <c r="G15" s="59">
        <v>18800</v>
      </c>
      <c r="H15" s="59">
        <v>511000</v>
      </c>
      <c r="I15" s="59">
        <v>80850</v>
      </c>
      <c r="J15" s="59">
        <v>2303000</v>
      </c>
      <c r="K15" s="41">
        <v>0.86686213769187803</v>
      </c>
      <c r="L15" s="79" t="str">
        <f t="shared" si="0"/>
        <v>No</v>
      </c>
      <c r="M15" s="65"/>
    </row>
    <row r="16" spans="1:14" ht="14.4" x14ac:dyDescent="0.3">
      <c r="A16" s="13">
        <v>14</v>
      </c>
      <c r="B16" s="5" t="s">
        <v>30</v>
      </c>
      <c r="C16" s="59">
        <v>2720</v>
      </c>
      <c r="D16" s="59">
        <v>1875</v>
      </c>
      <c r="E16" s="59">
        <v>6800</v>
      </c>
      <c r="F16" s="59"/>
      <c r="G16" s="59">
        <v>10600</v>
      </c>
      <c r="H16" s="59">
        <v>465700</v>
      </c>
      <c r="I16" s="59">
        <v>60720</v>
      </c>
      <c r="J16" s="59">
        <v>1800250</v>
      </c>
      <c r="K16" s="41">
        <v>0.78211041685200178</v>
      </c>
      <c r="L16" s="79" t="str">
        <f t="shared" si="0"/>
        <v>No</v>
      </c>
      <c r="M16" s="65"/>
    </row>
    <row r="17" spans="1:14" ht="14.4" x14ac:dyDescent="0.3">
      <c r="B17" s="5"/>
      <c r="C17" s="59"/>
      <c r="D17" s="59"/>
      <c r="E17" s="59"/>
      <c r="F17" s="59"/>
      <c r="G17" s="59"/>
      <c r="H17" s="59"/>
      <c r="I17" s="59"/>
      <c r="J17" s="59"/>
      <c r="K17" s="41"/>
      <c r="L17" s="79"/>
      <c r="M17" s="6"/>
    </row>
    <row r="18" spans="1:14" s="110" customFormat="1" ht="14.4" x14ac:dyDescent="0.3">
      <c r="A18" s="105">
        <v>1</v>
      </c>
      <c r="B18" s="106">
        <v>2</v>
      </c>
      <c r="C18" s="105">
        <v>3</v>
      </c>
      <c r="D18" s="107">
        <v>4</v>
      </c>
      <c r="E18" s="105">
        <v>5</v>
      </c>
      <c r="F18" s="107">
        <v>6</v>
      </c>
      <c r="G18" s="105">
        <v>7</v>
      </c>
      <c r="H18" s="107">
        <v>8</v>
      </c>
      <c r="I18" s="105">
        <v>9</v>
      </c>
      <c r="J18" s="107">
        <v>10</v>
      </c>
      <c r="K18" s="108"/>
      <c r="L18" s="109"/>
      <c r="N18" s="111"/>
    </row>
    <row r="19" spans="1:14" x14ac:dyDescent="0.25">
      <c r="A19" s="64" t="s">
        <v>61</v>
      </c>
      <c r="B19" s="99"/>
      <c r="C19" s="60"/>
      <c r="D19" s="60"/>
      <c r="E19" s="60"/>
      <c r="F19" s="60"/>
      <c r="G19" s="60"/>
      <c r="H19" s="60"/>
      <c r="I19" s="60"/>
      <c r="J19" s="60"/>
      <c r="L19" s="72"/>
    </row>
    <row r="20" spans="1:14" s="69" customFormat="1" x14ac:dyDescent="0.25">
      <c r="A20" s="37">
        <v>14</v>
      </c>
      <c r="B20" s="101" t="str">
        <f>VLOOKUP(Row_Focus,$A3:$K16,B18,FALSE)</f>
        <v>Store 7</v>
      </c>
      <c r="C20" s="68">
        <f>VLOOKUP(Row_Focus,$A3:$K16,C18,FALSE)</f>
        <v>2720</v>
      </c>
      <c r="D20" s="68">
        <f>VLOOKUP(Row_Focus,$A3:$K16,D18,FALSE)</f>
        <v>1875</v>
      </c>
      <c r="E20" s="68">
        <f>VLOOKUP(Row_Focus,$A3:$K16,E18,FALSE)</f>
        <v>6800</v>
      </c>
      <c r="F20" s="68"/>
      <c r="G20" s="68">
        <f>VLOOKUP(Row_Focus,$A3:$K16,G18,FALSE)</f>
        <v>10600</v>
      </c>
      <c r="H20" s="68">
        <f>VLOOKUP(Row_Focus,$A3:$K16,H18,FALSE)</f>
        <v>465700</v>
      </c>
      <c r="I20" s="68">
        <f>VLOOKUP(Row_Focus,$A3:$K16,I18,FALSE)</f>
        <v>60720</v>
      </c>
      <c r="J20" s="68">
        <f>VLOOKUP(Row_Focus,$A3:$K16,J18,FALSE)</f>
        <v>1800250</v>
      </c>
      <c r="K20" s="98"/>
      <c r="L20" s="80"/>
      <c r="N20" s="90"/>
    </row>
    <row r="21" spans="1:14" s="13" customFormat="1" x14ac:dyDescent="0.25">
      <c r="B21" s="102"/>
      <c r="C21" s="94" t="s">
        <v>6</v>
      </c>
      <c r="D21" s="94" t="s">
        <v>6</v>
      </c>
      <c r="E21" s="94" t="s">
        <v>6</v>
      </c>
      <c r="F21" s="94"/>
      <c r="G21" s="94" t="s">
        <v>16</v>
      </c>
      <c r="H21" s="94" t="s">
        <v>16</v>
      </c>
      <c r="I21" s="94" t="s">
        <v>16</v>
      </c>
      <c r="J21" s="94" t="s">
        <v>16</v>
      </c>
      <c r="K21" s="41"/>
      <c r="L21" s="64"/>
      <c r="N21" s="41"/>
    </row>
    <row r="22" spans="1:14" x14ac:dyDescent="0.25">
      <c r="B22" s="81" t="s">
        <v>20</v>
      </c>
      <c r="C22" s="61">
        <f>SUMPRODUCT(C3:C9,$N$3:$N$9)</f>
        <v>1969.8883513778649</v>
      </c>
      <c r="D22" s="61">
        <f t="shared" ref="D22:J22" si="1">SUMPRODUCT(D3:D9,$N$3:$N$9)</f>
        <v>2225</v>
      </c>
      <c r="E22" s="61">
        <f t="shared" si="1"/>
        <v>6878.9398992482611</v>
      </c>
      <c r="G22" s="61">
        <f t="shared" si="1"/>
        <v>27203.64799242904</v>
      </c>
      <c r="H22" s="61">
        <f t="shared" si="1"/>
        <v>611169.13781678886</v>
      </c>
      <c r="I22" s="61">
        <f t="shared" si="1"/>
        <v>80850</v>
      </c>
      <c r="J22" s="61">
        <f t="shared" si="1"/>
        <v>2303000</v>
      </c>
      <c r="L22" s="72"/>
    </row>
    <row r="23" spans="1:14" x14ac:dyDescent="0.25">
      <c r="L23" s="76"/>
      <c r="N23" s="88"/>
    </row>
    <row r="24" spans="1:14" s="76" customFormat="1" x14ac:dyDescent="0.25">
      <c r="A24" s="75"/>
      <c r="B24" s="103" t="s">
        <v>62</v>
      </c>
      <c r="C24" s="76">
        <f>C20/C22</f>
        <v>1.3807889153197233</v>
      </c>
      <c r="D24" s="76">
        <f t="shared" ref="D24:J24" si="2">D20/D22</f>
        <v>0.84269662921348309</v>
      </c>
      <c r="E24" s="76">
        <f t="shared" si="2"/>
        <v>0.98852440922519358</v>
      </c>
      <c r="G24" s="76">
        <f t="shared" si="2"/>
        <v>0.38965362303430967</v>
      </c>
      <c r="H24" s="76">
        <f t="shared" si="2"/>
        <v>0.76198219311853344</v>
      </c>
      <c r="I24" s="76">
        <f t="shared" si="2"/>
        <v>0.75102040816326532</v>
      </c>
      <c r="J24" s="76">
        <f t="shared" si="2"/>
        <v>0.78169778549717761</v>
      </c>
      <c r="N24" s="83"/>
    </row>
    <row r="25" spans="1:14" s="76" customFormat="1" x14ac:dyDescent="0.25">
      <c r="A25" s="75"/>
      <c r="B25" s="103"/>
      <c r="N25" s="83"/>
    </row>
    <row r="26" spans="1:14" x14ac:dyDescent="0.25">
      <c r="L26" s="76"/>
    </row>
    <row r="27" spans="1:14" ht="14.4" x14ac:dyDescent="0.3">
      <c r="B27" s="104" t="s">
        <v>66</v>
      </c>
      <c r="C27" s="95"/>
      <c r="D27" s="82"/>
      <c r="E27" s="82"/>
      <c r="F27" s="82"/>
      <c r="G27" s="82"/>
      <c r="H27" s="82"/>
      <c r="I27" s="82"/>
      <c r="J27" s="82"/>
      <c r="L27" s="76"/>
    </row>
    <row r="28" spans="1:14" s="72" customFormat="1" ht="14.4" x14ac:dyDescent="0.3">
      <c r="A28" s="64"/>
      <c r="B28" s="19" t="s">
        <v>56</v>
      </c>
      <c r="C28" s="29" t="s">
        <v>27</v>
      </c>
      <c r="D28" s="29" t="s">
        <v>31</v>
      </c>
      <c r="E28" s="29" t="s">
        <v>34</v>
      </c>
      <c r="F28" s="29" t="s">
        <v>36</v>
      </c>
      <c r="G28" s="29" t="s">
        <v>28</v>
      </c>
      <c r="H28" s="29" t="s">
        <v>35</v>
      </c>
      <c r="I28" s="29" t="s">
        <v>30</v>
      </c>
      <c r="J28" s="82"/>
      <c r="K28" s="76"/>
      <c r="L28" s="71"/>
      <c r="N28" s="83"/>
    </row>
    <row r="29" spans="1:14" ht="14.4" x14ac:dyDescent="0.3">
      <c r="B29" s="14" t="str">
        <f>B3</f>
        <v>Store 1</v>
      </c>
      <c r="C29" s="87">
        <v>5.0139816187984828E-3</v>
      </c>
      <c r="D29" s="87">
        <v>0</v>
      </c>
      <c r="E29" s="87">
        <v>0</v>
      </c>
      <c r="F29" s="87">
        <v>0</v>
      </c>
      <c r="G29" s="87">
        <v>0</v>
      </c>
      <c r="H29" s="87">
        <v>2.4127522862089964E-3</v>
      </c>
      <c r="I29" s="87">
        <v>0</v>
      </c>
    </row>
    <row r="30" spans="1:14" ht="14.4" x14ac:dyDescent="0.3">
      <c r="B30" s="14" t="str">
        <f t="shared" ref="B30:B34" si="3">B4</f>
        <v>Store 6</v>
      </c>
      <c r="C30" s="87">
        <v>0</v>
      </c>
      <c r="D30" s="87">
        <v>0.27880786871290703</v>
      </c>
      <c r="E30" s="87">
        <v>5.9445199639184196E-2</v>
      </c>
      <c r="F30" s="87">
        <v>0</v>
      </c>
      <c r="G30" s="87">
        <v>0</v>
      </c>
      <c r="H30" s="87">
        <v>0</v>
      </c>
      <c r="I30" s="87">
        <v>8.1705249970277338E-2</v>
      </c>
    </row>
    <row r="31" spans="1:14" ht="14.4" x14ac:dyDescent="0.3">
      <c r="B31" s="14" t="str">
        <f t="shared" si="3"/>
        <v>Store 2</v>
      </c>
      <c r="C31" s="87">
        <v>0</v>
      </c>
      <c r="D31" s="87">
        <v>0.40148820055648704</v>
      </c>
      <c r="E31" s="87">
        <v>9.4209570082481403E-2</v>
      </c>
      <c r="F31" s="87">
        <v>6.8454385136554552E-2</v>
      </c>
      <c r="G31" s="87">
        <v>0.16477270057104432</v>
      </c>
      <c r="H31" s="87">
        <v>6.6004311530309945E-2</v>
      </c>
      <c r="I31" s="87">
        <v>0.17239606466029483</v>
      </c>
    </row>
    <row r="32" spans="1:14" ht="14.4" x14ac:dyDescent="0.3">
      <c r="B32" s="14" t="str">
        <f t="shared" si="3"/>
        <v>Store 3</v>
      </c>
      <c r="C32" s="87">
        <v>0.30331273675013126</v>
      </c>
      <c r="D32" s="87">
        <v>0</v>
      </c>
      <c r="E32" s="87">
        <v>0.26261561996786853</v>
      </c>
      <c r="F32" s="87">
        <v>0.13445474435600219</v>
      </c>
      <c r="G32" s="87">
        <v>0</v>
      </c>
      <c r="H32" s="87">
        <v>0.23577590889396061</v>
      </c>
      <c r="I32" s="87">
        <v>0</v>
      </c>
    </row>
    <row r="33" spans="1:14" ht="14.4" x14ac:dyDescent="0.3">
      <c r="B33" s="14" t="str">
        <f t="shared" si="3"/>
        <v>Store 9</v>
      </c>
      <c r="C33" s="87">
        <v>0</v>
      </c>
      <c r="D33" s="87">
        <v>0</v>
      </c>
      <c r="E33" s="87">
        <v>0.3332690750839582</v>
      </c>
      <c r="F33" s="87">
        <v>0</v>
      </c>
      <c r="G33" s="87">
        <v>0</v>
      </c>
      <c r="H33" s="87">
        <v>0</v>
      </c>
      <c r="I33" s="87">
        <v>0</v>
      </c>
    </row>
    <row r="34" spans="1:14" ht="14.4" x14ac:dyDescent="0.3">
      <c r="B34" s="14" t="str">
        <f t="shared" si="3"/>
        <v>Store 10</v>
      </c>
      <c r="C34" s="87">
        <v>0.30750005400476321</v>
      </c>
      <c r="D34" s="87">
        <v>0</v>
      </c>
      <c r="E34" s="87">
        <v>9.8989620194632311E-2</v>
      </c>
      <c r="F34" s="87">
        <v>0</v>
      </c>
      <c r="G34" s="87">
        <v>0</v>
      </c>
      <c r="H34" s="87">
        <v>0</v>
      </c>
      <c r="I34" s="87">
        <v>0.66103226584273</v>
      </c>
    </row>
    <row r="35" spans="1:14" ht="14.4" x14ac:dyDescent="0.3">
      <c r="B35" s="14" t="str">
        <f>B9</f>
        <v>Store 14</v>
      </c>
      <c r="C35" s="87">
        <v>0</v>
      </c>
      <c r="D35" s="87">
        <v>0</v>
      </c>
      <c r="E35" s="87">
        <v>0</v>
      </c>
      <c r="F35" s="87">
        <v>0.46031983690494244</v>
      </c>
      <c r="G35" s="87">
        <v>0.17730899217062868</v>
      </c>
      <c r="H35" s="87">
        <v>0</v>
      </c>
      <c r="I35" s="87">
        <v>0</v>
      </c>
    </row>
    <row r="37" spans="1:14" s="72" customFormat="1" x14ac:dyDescent="0.25">
      <c r="A37" s="64"/>
      <c r="B37" s="99"/>
      <c r="C37" s="70" t="s">
        <v>63</v>
      </c>
      <c r="D37" s="70"/>
      <c r="E37" s="70"/>
      <c r="F37" s="91"/>
      <c r="G37" s="70" t="s">
        <v>64</v>
      </c>
      <c r="H37" s="70"/>
      <c r="I37" s="70"/>
      <c r="J37" s="70"/>
      <c r="K37" s="76"/>
      <c r="L37" s="71"/>
      <c r="N37" s="83"/>
    </row>
    <row r="38" spans="1:14" s="62" customFormat="1" ht="30" customHeight="1" x14ac:dyDescent="0.3">
      <c r="A38" s="63"/>
      <c r="B38" s="19" t="s">
        <v>56</v>
      </c>
      <c r="C38" s="84" t="s">
        <v>21</v>
      </c>
      <c r="D38" s="84" t="s">
        <v>22</v>
      </c>
      <c r="E38" s="84" t="s">
        <v>23</v>
      </c>
      <c r="F38" s="84"/>
      <c r="G38" s="84" t="s">
        <v>38</v>
      </c>
      <c r="H38" s="85" t="s">
        <v>39</v>
      </c>
      <c r="I38" s="85" t="s">
        <v>40</v>
      </c>
      <c r="J38" s="85" t="s">
        <v>41</v>
      </c>
      <c r="K38" s="96" t="s">
        <v>18</v>
      </c>
      <c r="L38" s="77"/>
      <c r="N38" s="86"/>
    </row>
    <row r="39" spans="1:14" x14ac:dyDescent="0.25">
      <c r="B39" s="101" t="s">
        <v>30</v>
      </c>
      <c r="C39" s="68">
        <f>C16</f>
        <v>2720</v>
      </c>
      <c r="D39" s="68">
        <f t="shared" ref="D39:K39" si="4">D16</f>
        <v>1875</v>
      </c>
      <c r="E39" s="68">
        <f t="shared" si="4"/>
        <v>6800</v>
      </c>
      <c r="F39" s="68"/>
      <c r="G39" s="68">
        <f t="shared" si="4"/>
        <v>10600</v>
      </c>
      <c r="H39" s="68">
        <f t="shared" si="4"/>
        <v>465700</v>
      </c>
      <c r="I39" s="68">
        <f t="shared" si="4"/>
        <v>60720</v>
      </c>
      <c r="J39" s="68">
        <f t="shared" si="4"/>
        <v>1800250</v>
      </c>
      <c r="K39" s="42">
        <f t="shared" si="4"/>
        <v>0.78211041685200178</v>
      </c>
    </row>
    <row r="40" spans="1:14" x14ac:dyDescent="0.25">
      <c r="B40" s="81" t="s">
        <v>20</v>
      </c>
      <c r="C40" s="61">
        <f>SUMPRODUCT($I$29:$I$35,C$3:C$9)</f>
        <v>1969.8883513778649</v>
      </c>
      <c r="D40" s="61">
        <f t="shared" ref="D40:K40" si="5">SUMPRODUCT($I$29:$I$35,D$3:D$9)</f>
        <v>2225</v>
      </c>
      <c r="E40" s="61">
        <f t="shared" si="5"/>
        <v>6878.9398992482611</v>
      </c>
      <c r="F40" s="61">
        <f t="shared" si="5"/>
        <v>0</v>
      </c>
      <c r="G40" s="61">
        <f t="shared" si="5"/>
        <v>27203.64799242904</v>
      </c>
      <c r="H40" s="61">
        <f t="shared" si="5"/>
        <v>611169.13781678886</v>
      </c>
      <c r="I40" s="61">
        <f t="shared" si="5"/>
        <v>80850</v>
      </c>
      <c r="J40" s="61">
        <f t="shared" si="5"/>
        <v>2303000</v>
      </c>
    </row>
    <row r="41" spans="1:14" x14ac:dyDescent="0.25">
      <c r="B41" s="103" t="s">
        <v>62</v>
      </c>
      <c r="C41" s="76">
        <f>C39/C40</f>
        <v>1.3807889153197233</v>
      </c>
      <c r="D41" s="76">
        <f>D39/D40</f>
        <v>0.84269662921348309</v>
      </c>
      <c r="E41" s="76">
        <f>E39/E40</f>
        <v>0.98852440922519358</v>
      </c>
      <c r="F41" s="76"/>
      <c r="G41" s="76">
        <f>G39/G40</f>
        <v>0.38965362303430967</v>
      </c>
      <c r="H41" s="76">
        <f>H39/H40</f>
        <v>0.76198219311853344</v>
      </c>
      <c r="I41" s="76">
        <f>I39/I40</f>
        <v>0.75102040816326532</v>
      </c>
      <c r="J41" s="76">
        <f>J39/J40</f>
        <v>0.78169778549717761</v>
      </c>
    </row>
    <row r="44" spans="1:14" x14ac:dyDescent="0.25">
      <c r="B44" s="101" t="s">
        <v>35</v>
      </c>
      <c r="C44" s="68">
        <f>C15</f>
        <v>2820</v>
      </c>
      <c r="D44" s="68">
        <f>D15</f>
        <v>2225</v>
      </c>
      <c r="E44" s="68">
        <f>E15</f>
        <v>8600</v>
      </c>
      <c r="F44" s="68"/>
      <c r="G44" s="68">
        <f>G15</f>
        <v>18800</v>
      </c>
      <c r="H44" s="68">
        <f>H15</f>
        <v>511000</v>
      </c>
      <c r="I44" s="68">
        <f>I15</f>
        <v>80850</v>
      </c>
      <c r="J44" s="68">
        <f>J15</f>
        <v>2303000</v>
      </c>
      <c r="K44" s="42">
        <f>K15</f>
        <v>0.86686213769187803</v>
      </c>
    </row>
    <row r="45" spans="1:14" x14ac:dyDescent="0.25">
      <c r="B45" s="81" t="s">
        <v>20</v>
      </c>
      <c r="C45" s="61">
        <f>SUMPRODUCT($H$29:$H$35,C$3:C$9)</f>
        <v>812.52346019655067</v>
      </c>
      <c r="D45" s="61">
        <f t="shared" ref="D45:K45" si="6">SUMPRODUCT($H$29:$H$35,D$3:D$9)</f>
        <v>1150</v>
      </c>
      <c r="E45" s="61">
        <f t="shared" si="6"/>
        <v>3246.1673165379739</v>
      </c>
      <c r="G45" s="61">
        <f t="shared" si="6"/>
        <v>15158.118538600387</v>
      </c>
      <c r="H45" s="61">
        <f t="shared" si="6"/>
        <v>370899.99999999994</v>
      </c>
      <c r="I45" s="61">
        <f t="shared" si="6"/>
        <v>74597.108250210847</v>
      </c>
      <c r="J45" s="61">
        <f t="shared" si="6"/>
        <v>1069100</v>
      </c>
    </row>
    <row r="46" spans="1:14" x14ac:dyDescent="0.25">
      <c r="B46" s="103" t="s">
        <v>62</v>
      </c>
      <c r="C46" s="76">
        <f>C44/C45</f>
        <v>3.4706690183663591</v>
      </c>
      <c r="D46" s="76">
        <f>D44/D45</f>
        <v>1.9347826086956521</v>
      </c>
      <c r="E46" s="76">
        <f>E44/E45</f>
        <v>2.6492781059640111</v>
      </c>
      <c r="F46" s="76"/>
      <c r="G46" s="76">
        <f>G44/G45</f>
        <v>1.2402594657196739</v>
      </c>
      <c r="H46" s="76">
        <f>H44/H45</f>
        <v>1.3777298463197629</v>
      </c>
      <c r="I46" s="76">
        <f>I44/I45</f>
        <v>1.0838221734925158</v>
      </c>
      <c r="J46" s="76">
        <f>J44/J45</f>
        <v>2.1541483490786644</v>
      </c>
    </row>
  </sheetData>
  <sortState xmlns:xlrd2="http://schemas.microsoft.com/office/spreadsheetml/2017/richdata2" ref="B3:K16">
    <sortCondition descending="1" ref="K3:K16"/>
  </sortState>
  <mergeCells count="4">
    <mergeCell ref="C1:E1"/>
    <mergeCell ref="G1:J1"/>
    <mergeCell ref="C37:E37"/>
    <mergeCell ref="G37:J37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E2256-6207-46A1-8018-1801989FBB3B}">
  <sheetPr codeName="Sheet4"/>
  <dimension ref="A1:BK64"/>
  <sheetViews>
    <sheetView workbookViewId="0">
      <selection activeCell="D27" sqref="D27"/>
    </sheetView>
  </sheetViews>
  <sheetFormatPr defaultColWidth="9.21875" defaultRowHeight="13.2" x14ac:dyDescent="0.3"/>
  <cols>
    <col min="1" max="1" width="26.21875" style="2" customWidth="1"/>
    <col min="2" max="2" width="9.77734375" style="2" customWidth="1"/>
    <col min="3" max="4" width="13" style="2" customWidth="1"/>
    <col min="5" max="5" width="7.5546875" style="2" customWidth="1"/>
    <col min="6" max="6" width="13.44140625" style="2" customWidth="1"/>
    <col min="7" max="10" width="11.77734375" style="2" customWidth="1"/>
    <col min="11" max="11" width="10.88671875" style="2" customWidth="1"/>
    <col min="12" max="12" width="9.21875" style="6"/>
    <col min="13" max="61" width="9.6640625" style="2" customWidth="1"/>
    <col min="62" max="62" width="10.44140625" style="6" bestFit="1" customWidth="1"/>
    <col min="63" max="63" width="9.6640625" style="6" customWidth="1"/>
    <col min="64" max="16384" width="9.21875" style="2"/>
  </cols>
  <sheetData>
    <row r="1" spans="1:63" ht="14.4" x14ac:dyDescent="0.3">
      <c r="A1" s="1"/>
      <c r="B1" s="1"/>
    </row>
    <row r="2" spans="1:63" ht="14.4" x14ac:dyDescent="0.3">
      <c r="A2" s="1"/>
      <c r="B2" s="1"/>
    </row>
    <row r="3" spans="1:63" ht="14.4" x14ac:dyDescent="0.3">
      <c r="A3" s="1"/>
      <c r="B3" s="3"/>
    </row>
    <row r="4" spans="1:63" s="1" customFormat="1" ht="14.4" x14ac:dyDescent="0.3">
      <c r="L4" s="27"/>
      <c r="O4" s="28"/>
      <c r="S4" s="28"/>
      <c r="BJ4" s="29"/>
      <c r="BK4" s="9"/>
    </row>
    <row r="5" spans="1:63" s="22" customFormat="1" ht="14.4" x14ac:dyDescent="0.3">
      <c r="A5" s="17"/>
      <c r="B5" s="18"/>
      <c r="C5" s="18"/>
      <c r="D5" s="18"/>
      <c r="E5" s="18"/>
      <c r="F5" s="19"/>
      <c r="G5" s="18"/>
      <c r="H5" s="20"/>
      <c r="I5" s="20"/>
      <c r="J5" s="20"/>
      <c r="K5" s="23"/>
      <c r="L5" s="26"/>
      <c r="M5" s="21"/>
      <c r="N5" s="21"/>
      <c r="O5" s="26"/>
      <c r="P5" s="21"/>
      <c r="Q5" s="21"/>
      <c r="R5" s="21"/>
      <c r="S5" s="26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4"/>
      <c r="BK5" s="21"/>
    </row>
    <row r="6" spans="1:63" ht="14.4" x14ac:dyDescent="0.3">
      <c r="B6" s="32"/>
      <c r="C6" s="32"/>
      <c r="D6" s="32"/>
      <c r="G6" s="32"/>
      <c r="H6" s="32"/>
      <c r="I6" s="32"/>
      <c r="J6" s="32"/>
      <c r="K6" s="23"/>
      <c r="L6" s="25"/>
      <c r="M6" s="33"/>
      <c r="N6" s="33"/>
      <c r="O6" s="33"/>
      <c r="P6" s="33"/>
      <c r="Q6" s="33"/>
      <c r="R6" s="33"/>
      <c r="S6" s="33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34"/>
    </row>
    <row r="7" spans="1:63" ht="14.4" x14ac:dyDescent="0.3">
      <c r="B7" s="32"/>
      <c r="C7" s="32"/>
      <c r="D7" s="32"/>
      <c r="G7" s="32"/>
      <c r="H7" s="32"/>
      <c r="I7" s="32"/>
      <c r="J7" s="32"/>
      <c r="K7" s="23"/>
      <c r="L7" s="25"/>
      <c r="M7" s="33"/>
      <c r="N7" s="33"/>
      <c r="O7" s="33"/>
      <c r="P7" s="33"/>
      <c r="Q7" s="33"/>
      <c r="R7" s="33"/>
      <c r="S7" s="33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34"/>
    </row>
    <row r="8" spans="1:63" ht="14.4" x14ac:dyDescent="0.3">
      <c r="B8" s="32"/>
      <c r="C8" s="32"/>
      <c r="D8" s="32"/>
      <c r="G8" s="32"/>
      <c r="H8" s="32"/>
      <c r="I8" s="32"/>
      <c r="J8" s="32"/>
      <c r="K8" s="23"/>
      <c r="L8" s="25"/>
      <c r="M8" s="33"/>
      <c r="N8" s="33"/>
      <c r="O8" s="33"/>
      <c r="P8" s="33"/>
      <c r="Q8" s="33"/>
      <c r="R8" s="33"/>
      <c r="S8" s="33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34"/>
    </row>
    <row r="9" spans="1:63" ht="14.4" x14ac:dyDescent="0.3">
      <c r="B9" s="32"/>
      <c r="C9" s="32"/>
      <c r="D9" s="32"/>
      <c r="G9" s="32"/>
      <c r="H9" s="32"/>
      <c r="I9" s="32"/>
      <c r="J9" s="32"/>
      <c r="K9" s="23"/>
      <c r="L9" s="25"/>
      <c r="M9" s="33"/>
      <c r="N9" s="33"/>
      <c r="O9" s="33"/>
      <c r="P9" s="33"/>
      <c r="Q9" s="33"/>
      <c r="R9" s="33"/>
      <c r="S9" s="33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34"/>
    </row>
    <row r="10" spans="1:63" ht="14.4" x14ac:dyDescent="0.3">
      <c r="B10" s="32"/>
      <c r="C10" s="32"/>
      <c r="D10" s="32"/>
      <c r="G10" s="32"/>
      <c r="H10" s="32"/>
      <c r="I10" s="32"/>
      <c r="J10" s="32"/>
      <c r="K10" s="23"/>
      <c r="L10" s="25"/>
      <c r="M10" s="33"/>
      <c r="N10" s="33"/>
      <c r="O10" s="33"/>
      <c r="P10" s="33"/>
      <c r="Q10" s="33"/>
      <c r="R10" s="33"/>
      <c r="S10" s="33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34"/>
    </row>
    <row r="11" spans="1:63" ht="14.4" x14ac:dyDescent="0.3">
      <c r="B11" s="32"/>
      <c r="C11" s="32"/>
      <c r="D11" s="32"/>
      <c r="G11" s="32"/>
      <c r="H11" s="32"/>
      <c r="I11" s="32"/>
      <c r="J11" s="32"/>
      <c r="K11" s="23"/>
      <c r="L11" s="25"/>
      <c r="M11" s="33"/>
      <c r="N11" s="33"/>
      <c r="O11" s="33"/>
      <c r="P11" s="33"/>
      <c r="Q11" s="33"/>
      <c r="R11" s="33"/>
      <c r="S11" s="33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34"/>
    </row>
    <row r="12" spans="1:63" ht="14.4" x14ac:dyDescent="0.3">
      <c r="B12" s="32"/>
      <c r="C12" s="32"/>
      <c r="D12" s="32"/>
      <c r="G12" s="32"/>
      <c r="H12" s="32"/>
      <c r="I12" s="32"/>
      <c r="J12" s="32"/>
      <c r="K12" s="23"/>
      <c r="L12" s="25"/>
      <c r="M12" s="33"/>
      <c r="N12" s="33"/>
      <c r="O12" s="33"/>
      <c r="P12" s="33"/>
      <c r="Q12" s="33"/>
      <c r="R12" s="33"/>
      <c r="S12" s="33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34"/>
    </row>
    <row r="13" spans="1:63" ht="14.4" x14ac:dyDescent="0.3">
      <c r="B13" s="32"/>
      <c r="C13" s="32"/>
      <c r="D13" s="32"/>
      <c r="G13" s="32"/>
      <c r="H13" s="32"/>
      <c r="I13" s="32"/>
      <c r="J13" s="32"/>
      <c r="K13" s="23"/>
      <c r="L13" s="25"/>
      <c r="M13" s="33"/>
      <c r="N13" s="33"/>
      <c r="O13" s="33"/>
      <c r="P13" s="33"/>
      <c r="Q13" s="33"/>
      <c r="R13" s="33"/>
      <c r="S13" s="33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34"/>
    </row>
    <row r="14" spans="1:63" ht="14.4" x14ac:dyDescent="0.3">
      <c r="B14" s="32"/>
      <c r="C14" s="32"/>
      <c r="D14" s="32"/>
      <c r="G14" s="32"/>
      <c r="H14" s="32"/>
      <c r="I14" s="32"/>
      <c r="J14" s="32"/>
      <c r="K14" s="23"/>
      <c r="L14" s="25"/>
      <c r="M14" s="33"/>
      <c r="N14" s="33"/>
      <c r="O14" s="33"/>
      <c r="P14" s="33"/>
      <c r="Q14" s="33"/>
      <c r="R14" s="33"/>
      <c r="S14" s="33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34"/>
    </row>
    <row r="15" spans="1:63" ht="14.4" x14ac:dyDescent="0.3">
      <c r="B15" s="32"/>
      <c r="C15" s="32"/>
      <c r="D15" s="32"/>
      <c r="G15" s="32"/>
      <c r="H15" s="32"/>
      <c r="I15" s="32"/>
      <c r="J15" s="32"/>
      <c r="K15" s="23"/>
      <c r="L15" s="25"/>
      <c r="M15" s="33"/>
      <c r="N15" s="33"/>
      <c r="O15" s="33"/>
      <c r="P15" s="33"/>
      <c r="Q15" s="33"/>
      <c r="R15" s="33"/>
      <c r="S15" s="33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34"/>
    </row>
    <row r="16" spans="1:63" ht="14.4" x14ac:dyDescent="0.3">
      <c r="B16" s="32"/>
      <c r="C16" s="32"/>
      <c r="D16" s="32"/>
      <c r="G16" s="32"/>
      <c r="H16" s="32"/>
      <c r="I16" s="32"/>
      <c r="J16" s="32"/>
      <c r="K16" s="23"/>
      <c r="L16" s="25"/>
      <c r="M16" s="33"/>
      <c r="N16" s="33"/>
      <c r="O16" s="33"/>
      <c r="P16" s="33"/>
      <c r="Q16" s="33"/>
      <c r="R16" s="33"/>
      <c r="S16" s="33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34"/>
    </row>
    <row r="17" spans="1:63" ht="14.4" x14ac:dyDescent="0.3">
      <c r="B17" s="32"/>
      <c r="C17" s="32"/>
      <c r="D17" s="32"/>
      <c r="G17" s="32"/>
      <c r="H17" s="32"/>
      <c r="I17" s="32"/>
      <c r="J17" s="32"/>
      <c r="K17" s="23"/>
      <c r="L17" s="25"/>
      <c r="M17" s="33"/>
      <c r="N17" s="33"/>
      <c r="O17" s="33"/>
      <c r="P17" s="33"/>
      <c r="Q17" s="33"/>
      <c r="R17" s="33"/>
      <c r="S17" s="33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34"/>
    </row>
    <row r="18" spans="1:63" ht="14.4" x14ac:dyDescent="0.3">
      <c r="B18" s="32"/>
      <c r="C18" s="32"/>
      <c r="D18" s="32"/>
      <c r="G18" s="32"/>
      <c r="H18" s="32"/>
      <c r="I18" s="32"/>
      <c r="J18" s="32"/>
      <c r="K18" s="23"/>
      <c r="L18" s="25"/>
      <c r="M18" s="33"/>
      <c r="N18" s="33"/>
      <c r="O18" s="33"/>
      <c r="P18" s="33"/>
      <c r="Q18" s="33"/>
      <c r="R18" s="33"/>
      <c r="S18" s="33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34"/>
    </row>
    <row r="19" spans="1:63" ht="14.4" x14ac:dyDescent="0.3">
      <c r="B19" s="32"/>
      <c r="C19" s="32"/>
      <c r="D19" s="32"/>
      <c r="G19" s="32"/>
      <c r="H19" s="32"/>
      <c r="I19" s="32"/>
      <c r="J19" s="32"/>
      <c r="K19" s="23"/>
      <c r="L19" s="25"/>
      <c r="M19" s="33"/>
      <c r="N19" s="33"/>
      <c r="O19" s="33"/>
      <c r="P19" s="33"/>
      <c r="Q19" s="33"/>
      <c r="R19" s="33"/>
      <c r="S19" s="33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34"/>
    </row>
    <row r="20" spans="1:63" ht="14.4" x14ac:dyDescent="0.3">
      <c r="BJ20" s="11"/>
    </row>
    <row r="21" spans="1:63" s="22" customFormat="1" ht="14.4" x14ac:dyDescent="0.3">
      <c r="A21" s="17"/>
      <c r="B21" s="33"/>
      <c r="C21" s="33"/>
      <c r="D21" s="33"/>
      <c r="E21" s="35"/>
      <c r="F21" s="36"/>
      <c r="G21" s="33"/>
      <c r="H21" s="33"/>
      <c r="I21" s="33"/>
      <c r="J21" s="33"/>
      <c r="K21" s="30"/>
      <c r="L21" s="21"/>
      <c r="BJ21" s="21"/>
      <c r="BK21" s="21"/>
    </row>
    <row r="23" spans="1:63" s="1" customFormat="1" ht="14.4" x14ac:dyDescent="0.3">
      <c r="L23" s="9"/>
      <c r="BJ23" s="9"/>
      <c r="BK23" s="9"/>
    </row>
    <row r="24" spans="1:63" ht="14.4" x14ac:dyDescent="0.3">
      <c r="A24" s="3"/>
      <c r="B24" s="3"/>
      <c r="D24" s="3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</row>
    <row r="25" spans="1:63" ht="14.4" x14ac:dyDescent="0.3">
      <c r="B25" s="4"/>
      <c r="C25" s="11"/>
      <c r="D25" s="4"/>
    </row>
    <row r="26" spans="1:63" ht="14.4" x14ac:dyDescent="0.3">
      <c r="B26" s="4"/>
      <c r="C26" s="11"/>
      <c r="D26" s="4"/>
      <c r="F26" s="1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</row>
    <row r="27" spans="1:63" ht="14.4" x14ac:dyDescent="0.3">
      <c r="B27" s="4"/>
      <c r="C27" s="11"/>
      <c r="D27" s="4"/>
    </row>
    <row r="28" spans="1:63" ht="14.4" x14ac:dyDescent="0.3">
      <c r="B28" s="4"/>
      <c r="C28" s="11"/>
      <c r="D28" s="4"/>
      <c r="E28" s="4"/>
    </row>
    <row r="29" spans="1:63" ht="14.4" x14ac:dyDescent="0.3">
      <c r="B29" s="4"/>
      <c r="C29" s="11"/>
      <c r="D29" s="4"/>
      <c r="E29" s="4"/>
    </row>
    <row r="30" spans="1:63" ht="14.4" x14ac:dyDescent="0.3">
      <c r="B30" s="4"/>
      <c r="C30" s="11"/>
      <c r="D30" s="4"/>
      <c r="E30" s="4"/>
    </row>
    <row r="31" spans="1:63" ht="14.4" x14ac:dyDescent="0.3">
      <c r="B31" s="4"/>
      <c r="C31" s="11"/>
      <c r="D31" s="4"/>
      <c r="E31" s="4"/>
    </row>
    <row r="32" spans="1:63" ht="14.4" x14ac:dyDescent="0.3">
      <c r="B32" s="4"/>
      <c r="C32" s="11"/>
      <c r="D32" s="4"/>
      <c r="E32" s="4"/>
    </row>
    <row r="33" spans="1:63" ht="14.4" x14ac:dyDescent="0.3">
      <c r="B33" s="4"/>
      <c r="C33" s="11"/>
      <c r="D33" s="4"/>
      <c r="E33" s="4"/>
    </row>
    <row r="34" spans="1:63" ht="14.4" x14ac:dyDescent="0.3">
      <c r="B34" s="4"/>
      <c r="C34" s="11"/>
      <c r="D34" s="4"/>
      <c r="E34" s="4"/>
    </row>
    <row r="35" spans="1:63" ht="14.4" x14ac:dyDescent="0.3">
      <c r="B35" s="4"/>
      <c r="C35" s="11"/>
      <c r="D35" s="4"/>
      <c r="E35" s="4"/>
    </row>
    <row r="36" spans="1:63" ht="14.4" x14ac:dyDescent="0.3">
      <c r="B36" s="4"/>
      <c r="C36" s="11"/>
      <c r="D36" s="4"/>
      <c r="E36" s="4"/>
    </row>
    <row r="37" spans="1:63" ht="14.4" x14ac:dyDescent="0.3">
      <c r="B37" s="4"/>
      <c r="C37" s="11"/>
      <c r="D37" s="4"/>
      <c r="E37" s="4"/>
    </row>
    <row r="38" spans="1:63" ht="14.4" x14ac:dyDescent="0.3">
      <c r="B38" s="4"/>
      <c r="C38" s="11"/>
      <c r="D38" s="4"/>
      <c r="E38" s="4"/>
    </row>
    <row r="39" spans="1:63" ht="14.4" x14ac:dyDescent="0.3">
      <c r="B39" s="4"/>
    </row>
    <row r="40" spans="1:63" s="1" customFormat="1" ht="18" customHeight="1" x14ac:dyDescent="0.3">
      <c r="L40" s="9"/>
      <c r="BJ40" s="9"/>
      <c r="BK40" s="9"/>
    </row>
    <row r="41" spans="1:63" ht="18" customHeight="1" x14ac:dyDescent="0.3">
      <c r="B41" s="4"/>
      <c r="C41" s="7"/>
    </row>
    <row r="42" spans="1:63" ht="18" customHeight="1" x14ac:dyDescent="0.3">
      <c r="C42" s="7"/>
      <c r="D42" s="7"/>
    </row>
    <row r="43" spans="1:63" ht="18" customHeight="1" x14ac:dyDescent="0.3">
      <c r="A43" s="1"/>
      <c r="C43" s="7"/>
      <c r="D43" s="7"/>
      <c r="F43" s="7"/>
    </row>
    <row r="44" spans="1:63" ht="18" customHeight="1" x14ac:dyDescent="0.3">
      <c r="A44" s="5"/>
      <c r="B44" s="8"/>
      <c r="AE44" s="1"/>
    </row>
    <row r="45" spans="1:63" ht="14.4" x14ac:dyDescent="0.3">
      <c r="AE45" s="1"/>
    </row>
    <row r="46" spans="1:63" ht="14.4" x14ac:dyDescent="0.3">
      <c r="AE46" s="1"/>
    </row>
    <row r="47" spans="1:63" ht="14.4" x14ac:dyDescent="0.3">
      <c r="T47" s="31"/>
      <c r="U47" s="31"/>
      <c r="V47" s="31"/>
      <c r="W47" s="31"/>
      <c r="X47" s="31"/>
      <c r="Y47" s="31"/>
      <c r="Z47" s="31"/>
      <c r="AA47" s="31"/>
      <c r="AB47" s="31"/>
      <c r="AC47" s="31"/>
      <c r="AD47" s="31"/>
      <c r="AE47" s="31"/>
      <c r="AF47" s="31"/>
      <c r="AG47" s="31"/>
    </row>
    <row r="50" spans="1:10" ht="14.4" x14ac:dyDescent="0.3">
      <c r="A50" s="17"/>
      <c r="B50" s="18"/>
      <c r="C50" s="18"/>
      <c r="D50" s="18"/>
      <c r="E50" s="18"/>
      <c r="F50" s="19"/>
      <c r="G50" s="18"/>
      <c r="H50" s="20"/>
      <c r="I50" s="20"/>
      <c r="J50" s="20"/>
    </row>
    <row r="51" spans="1:10" ht="14.4" x14ac:dyDescent="0.3">
      <c r="B51" s="15"/>
      <c r="C51" s="16"/>
      <c r="D51" s="16"/>
      <c r="G51" s="16"/>
      <c r="H51" s="16"/>
      <c r="I51" s="16"/>
      <c r="J51" s="15"/>
    </row>
    <row r="52" spans="1:10" ht="14.4" x14ac:dyDescent="0.3">
      <c r="B52" s="15"/>
      <c r="C52" s="16"/>
      <c r="D52" s="16"/>
      <c r="G52" s="16"/>
      <c r="H52" s="16"/>
      <c r="I52" s="16"/>
      <c r="J52" s="15"/>
    </row>
    <row r="53" spans="1:10" ht="14.4" x14ac:dyDescent="0.3">
      <c r="B53" s="15"/>
      <c r="C53" s="16"/>
      <c r="D53" s="16"/>
      <c r="G53" s="16"/>
      <c r="H53" s="16"/>
      <c r="I53" s="16"/>
      <c r="J53" s="15"/>
    </row>
    <row r="54" spans="1:10" ht="14.4" x14ac:dyDescent="0.3">
      <c r="B54" s="15"/>
      <c r="C54" s="16"/>
      <c r="D54" s="16"/>
      <c r="G54" s="16"/>
      <c r="H54" s="16"/>
      <c r="I54" s="16"/>
      <c r="J54" s="16"/>
    </row>
    <row r="55" spans="1:10" ht="14.4" x14ac:dyDescent="0.3">
      <c r="B55" s="15"/>
      <c r="C55" s="16"/>
      <c r="D55" s="16"/>
      <c r="G55" s="16"/>
      <c r="H55" s="16"/>
      <c r="I55" s="16"/>
      <c r="J55" s="16"/>
    </row>
    <row r="56" spans="1:10" ht="14.4" x14ac:dyDescent="0.3">
      <c r="B56" s="15"/>
      <c r="C56" s="16"/>
      <c r="D56" s="16"/>
      <c r="G56" s="16"/>
      <c r="H56" s="16"/>
      <c r="I56" s="16"/>
      <c r="J56" s="16"/>
    </row>
    <row r="57" spans="1:10" ht="14.4" x14ac:dyDescent="0.3">
      <c r="B57" s="15"/>
      <c r="C57" s="16"/>
      <c r="D57" s="16"/>
      <c r="G57" s="16"/>
      <c r="H57" s="16"/>
      <c r="I57" s="16"/>
      <c r="J57" s="16"/>
    </row>
    <row r="58" spans="1:10" ht="14.4" x14ac:dyDescent="0.3">
      <c r="B58" s="15"/>
      <c r="C58" s="16"/>
      <c r="D58" s="16"/>
      <c r="G58" s="16"/>
      <c r="H58" s="16"/>
      <c r="I58" s="16"/>
      <c r="J58" s="16"/>
    </row>
    <row r="59" spans="1:10" ht="14.4" x14ac:dyDescent="0.3">
      <c r="B59" s="15"/>
      <c r="C59" s="16"/>
      <c r="D59" s="16"/>
      <c r="G59" s="16"/>
      <c r="H59" s="16"/>
      <c r="I59" s="16"/>
      <c r="J59" s="16"/>
    </row>
    <row r="60" spans="1:10" ht="14.4" x14ac:dyDescent="0.3">
      <c r="B60" s="15"/>
      <c r="C60" s="16"/>
      <c r="D60" s="16"/>
      <c r="G60" s="16"/>
      <c r="H60" s="16"/>
      <c r="I60" s="16"/>
      <c r="J60" s="16"/>
    </row>
    <row r="61" spans="1:10" ht="14.4" x14ac:dyDescent="0.3">
      <c r="B61" s="15"/>
      <c r="C61" s="16"/>
      <c r="D61" s="16"/>
      <c r="G61" s="16"/>
      <c r="H61" s="16"/>
      <c r="I61" s="16"/>
      <c r="J61" s="16"/>
    </row>
    <row r="62" spans="1:10" ht="14.4" x14ac:dyDescent="0.3">
      <c r="B62" s="15"/>
      <c r="C62" s="16"/>
      <c r="D62" s="16"/>
      <c r="G62" s="16"/>
      <c r="H62" s="16"/>
      <c r="I62" s="16"/>
      <c r="J62" s="16"/>
    </row>
    <row r="63" spans="1:10" ht="14.4" x14ac:dyDescent="0.3">
      <c r="B63" s="15"/>
      <c r="C63" s="16"/>
      <c r="D63" s="16"/>
      <c r="G63" s="16"/>
      <c r="H63" s="16"/>
      <c r="I63" s="16"/>
      <c r="J63" s="16"/>
    </row>
    <row r="64" spans="1:10" ht="14.4" x14ac:dyDescent="0.3">
      <c r="B64" s="15"/>
      <c r="C64" s="16"/>
      <c r="D64" s="16"/>
      <c r="G64" s="16"/>
      <c r="H64" s="16"/>
      <c r="I64" s="16"/>
      <c r="J64" s="1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O24"/>
  <sheetViews>
    <sheetView topLeftCell="A4" workbookViewId="0">
      <selection activeCell="H17" sqref="H17"/>
    </sheetView>
  </sheetViews>
  <sheetFormatPr defaultColWidth="9.21875" defaultRowHeight="14.4" x14ac:dyDescent="0.3"/>
  <cols>
    <col min="1" max="1" width="15" style="6" customWidth="1"/>
    <col min="2" max="2" width="9.5546875" style="31" bestFit="1" customWidth="1"/>
    <col min="3" max="3" width="13.109375" style="31" customWidth="1"/>
    <col min="4" max="5" width="10.88671875" style="31" customWidth="1"/>
    <col min="6" max="6" width="10.21875" style="31" bestFit="1" customWidth="1"/>
    <col min="7" max="7" width="13" style="31" bestFit="1" customWidth="1"/>
    <col min="8" max="8" width="12.33203125" style="31" bestFit="1" customWidth="1"/>
    <col min="9" max="9" width="15.109375" style="31" customWidth="1"/>
    <col min="10" max="10" width="13.21875" style="31" customWidth="1"/>
    <col min="11" max="11" width="9.88671875" style="31" customWidth="1"/>
    <col min="12" max="12" width="16.5546875" style="31" customWidth="1"/>
    <col min="13" max="16384" width="9.21875" style="2"/>
  </cols>
  <sheetData>
    <row r="1" spans="1:15" x14ac:dyDescent="0.3">
      <c r="A1" s="9" t="s">
        <v>59</v>
      </c>
    </row>
    <row r="2" spans="1:15" x14ac:dyDescent="0.3">
      <c r="A2" s="9"/>
    </row>
    <row r="3" spans="1:15" x14ac:dyDescent="0.3">
      <c r="A3" s="9"/>
      <c r="B3" s="70" t="s">
        <v>63</v>
      </c>
      <c r="C3" s="70"/>
      <c r="D3" s="70"/>
      <c r="E3" s="91"/>
      <c r="F3" s="70" t="s">
        <v>64</v>
      </c>
      <c r="G3" s="70"/>
      <c r="H3" s="70"/>
      <c r="I3" s="70"/>
      <c r="J3" s="92"/>
    </row>
    <row r="4" spans="1:15" ht="43.2" x14ac:dyDescent="0.3">
      <c r="A4" s="9" t="s">
        <v>56</v>
      </c>
      <c r="B4" s="84" t="s">
        <v>21</v>
      </c>
      <c r="C4" s="84" t="s">
        <v>22</v>
      </c>
      <c r="D4" s="84" t="s">
        <v>23</v>
      </c>
      <c r="E4" s="84"/>
      <c r="F4" s="84" t="s">
        <v>38</v>
      </c>
      <c r="G4" s="85" t="s">
        <v>39</v>
      </c>
      <c r="H4" s="85" t="s">
        <v>40</v>
      </c>
      <c r="I4" s="85" t="s">
        <v>41</v>
      </c>
      <c r="J4" s="44" t="s">
        <v>18</v>
      </c>
    </row>
    <row r="5" spans="1:15" x14ac:dyDescent="0.3">
      <c r="A5" s="6" t="s">
        <v>27</v>
      </c>
      <c r="B5" s="59">
        <v>3140</v>
      </c>
      <c r="C5" s="59">
        <v>2325</v>
      </c>
      <c r="D5" s="59">
        <v>8933</v>
      </c>
      <c r="E5" s="59"/>
      <c r="F5" s="59">
        <v>31400</v>
      </c>
      <c r="G5" s="59">
        <v>879400</v>
      </c>
      <c r="H5" s="59">
        <v>82020</v>
      </c>
      <c r="I5" s="59">
        <v>2081350</v>
      </c>
      <c r="J5" s="12">
        <v>0.999999999999999</v>
      </c>
      <c r="K5" s="79" t="str">
        <f t="shared" ref="K5:K11" si="0">IF(J5=1, "Yes", "No")</f>
        <v>No</v>
      </c>
    </row>
    <row r="6" spans="1:15" x14ac:dyDescent="0.3">
      <c r="A6" s="6" t="s">
        <v>31</v>
      </c>
      <c r="B6" s="59">
        <v>2127</v>
      </c>
      <c r="C6" s="59">
        <v>2300</v>
      </c>
      <c r="D6" s="59">
        <v>7133</v>
      </c>
      <c r="E6" s="59"/>
      <c r="F6" s="59">
        <v>50000</v>
      </c>
      <c r="G6" s="59">
        <v>642700</v>
      </c>
      <c r="H6" s="59">
        <v>129840</v>
      </c>
      <c r="I6" s="59">
        <v>2296740</v>
      </c>
      <c r="J6" s="12">
        <v>0.9838805163547989</v>
      </c>
      <c r="K6" s="79" t="str">
        <f t="shared" si="0"/>
        <v>No</v>
      </c>
    </row>
    <row r="7" spans="1:15" x14ac:dyDescent="0.3">
      <c r="A7" s="6" t="s">
        <v>34</v>
      </c>
      <c r="B7" s="59">
        <v>2967</v>
      </c>
      <c r="C7" s="59">
        <v>2175</v>
      </c>
      <c r="D7" s="59">
        <v>7233</v>
      </c>
      <c r="E7" s="59"/>
      <c r="F7" s="59">
        <v>21000</v>
      </c>
      <c r="G7" s="59">
        <v>482400</v>
      </c>
      <c r="H7" s="59">
        <v>147960</v>
      </c>
      <c r="I7" s="59">
        <v>2245160</v>
      </c>
      <c r="J7" s="12">
        <v>0.96683852756150557</v>
      </c>
      <c r="K7" s="79" t="str">
        <f t="shared" si="0"/>
        <v>No</v>
      </c>
    </row>
    <row r="8" spans="1:15" x14ac:dyDescent="0.3">
      <c r="A8" s="6" t="s">
        <v>36</v>
      </c>
      <c r="B8" s="59">
        <v>2707</v>
      </c>
      <c r="C8" s="59">
        <v>1375</v>
      </c>
      <c r="D8" s="59">
        <v>6467</v>
      </c>
      <c r="E8" s="59"/>
      <c r="F8" s="59">
        <v>16800</v>
      </c>
      <c r="G8" s="59">
        <v>287400</v>
      </c>
      <c r="H8" s="59">
        <v>104820</v>
      </c>
      <c r="I8" s="59">
        <v>1141750</v>
      </c>
      <c r="J8" s="12">
        <v>0.90491309032120881</v>
      </c>
      <c r="K8" s="79" t="str">
        <f t="shared" si="0"/>
        <v>No</v>
      </c>
    </row>
    <row r="9" spans="1:15" x14ac:dyDescent="0.3">
      <c r="A9" s="6" t="s">
        <v>28</v>
      </c>
      <c r="B9" s="59">
        <v>2173</v>
      </c>
      <c r="C9" s="59">
        <v>1150</v>
      </c>
      <c r="D9" s="59">
        <v>6533</v>
      </c>
      <c r="E9" s="59"/>
      <c r="F9" s="59">
        <v>9200</v>
      </c>
      <c r="G9" s="59">
        <v>370900</v>
      </c>
      <c r="H9" s="59">
        <v>56760</v>
      </c>
      <c r="I9" s="59">
        <v>1069100</v>
      </c>
      <c r="J9" s="12">
        <v>0.90411389915704399</v>
      </c>
      <c r="K9" s="79" t="str">
        <f t="shared" si="0"/>
        <v>No</v>
      </c>
    </row>
    <row r="10" spans="1:15" x14ac:dyDescent="0.3">
      <c r="A10" s="6" t="s">
        <v>35</v>
      </c>
      <c r="B10" s="59">
        <v>2820</v>
      </c>
      <c r="C10" s="59">
        <v>2225</v>
      </c>
      <c r="D10" s="59">
        <v>8600</v>
      </c>
      <c r="E10" s="59"/>
      <c r="F10" s="59">
        <v>18800</v>
      </c>
      <c r="G10" s="59">
        <v>511000</v>
      </c>
      <c r="H10" s="59">
        <v>80850</v>
      </c>
      <c r="I10" s="59">
        <v>2303000</v>
      </c>
      <c r="J10" s="12">
        <v>0.86686213769187803</v>
      </c>
      <c r="K10" s="79" t="str">
        <f t="shared" si="0"/>
        <v>No</v>
      </c>
    </row>
    <row r="11" spans="1:15" x14ac:dyDescent="0.3">
      <c r="A11" s="6" t="s">
        <v>30</v>
      </c>
      <c r="B11" s="59">
        <v>2720</v>
      </c>
      <c r="C11" s="59">
        <v>1875</v>
      </c>
      <c r="D11" s="59">
        <v>6800</v>
      </c>
      <c r="E11" s="59"/>
      <c r="F11" s="59">
        <v>10600</v>
      </c>
      <c r="G11" s="59">
        <v>465700</v>
      </c>
      <c r="H11" s="59">
        <v>60720</v>
      </c>
      <c r="I11" s="59">
        <v>1800250</v>
      </c>
      <c r="J11" s="12">
        <v>0.78211041685200178</v>
      </c>
      <c r="K11" s="79" t="str">
        <f t="shared" si="0"/>
        <v>No</v>
      </c>
    </row>
    <row r="12" spans="1:15" x14ac:dyDescent="0.3">
      <c r="B12" s="40"/>
      <c r="C12" s="40"/>
      <c r="D12" s="40"/>
      <c r="E12" s="40"/>
      <c r="F12" s="40"/>
      <c r="G12" s="40"/>
      <c r="H12" s="40"/>
      <c r="I12" s="40"/>
      <c r="K12" s="2"/>
    </row>
    <row r="13" spans="1:15" s="1" customFormat="1" x14ac:dyDescent="0.3">
      <c r="A13" s="9" t="s">
        <v>56</v>
      </c>
      <c r="B13" s="57" t="s">
        <v>0</v>
      </c>
      <c r="C13" s="57" t="s">
        <v>1</v>
      </c>
      <c r="D13" s="57" t="s">
        <v>52</v>
      </c>
      <c r="E13" s="57"/>
      <c r="F13" s="57" t="s">
        <v>2</v>
      </c>
      <c r="G13" s="57" t="s">
        <v>3</v>
      </c>
      <c r="H13" s="57" t="s">
        <v>4</v>
      </c>
      <c r="I13" s="44" t="s">
        <v>53</v>
      </c>
      <c r="K13" s="57" t="s">
        <v>15</v>
      </c>
      <c r="O13" s="44"/>
    </row>
    <row r="14" spans="1:15" x14ac:dyDescent="0.3">
      <c r="A14" s="6" t="s">
        <v>24</v>
      </c>
      <c r="B14" s="31">
        <v>9333</v>
      </c>
      <c r="C14" s="31">
        <v>10725</v>
      </c>
      <c r="D14" s="31">
        <v>29167</v>
      </c>
      <c r="F14" s="31">
        <v>96800</v>
      </c>
      <c r="G14" s="31">
        <v>4139100</v>
      </c>
      <c r="H14" s="31">
        <v>179580</v>
      </c>
      <c r="I14" s="31">
        <v>2951430</v>
      </c>
      <c r="J14" s="2"/>
      <c r="K14" s="93">
        <v>5.0139816187984828E-3</v>
      </c>
      <c r="L14" s="2"/>
      <c r="O14" s="31"/>
    </row>
    <row r="15" spans="1:15" x14ac:dyDescent="0.3">
      <c r="A15" s="6" t="s">
        <v>29</v>
      </c>
      <c r="B15" s="31">
        <v>3387</v>
      </c>
      <c r="C15" s="31">
        <v>2075</v>
      </c>
      <c r="D15" s="31">
        <v>6300</v>
      </c>
      <c r="F15" s="31">
        <v>54400</v>
      </c>
      <c r="G15" s="31">
        <v>667400</v>
      </c>
      <c r="H15" s="31">
        <v>104250</v>
      </c>
      <c r="I15" s="31">
        <v>2660040</v>
      </c>
      <c r="J15" s="2"/>
      <c r="K15" s="93">
        <v>0</v>
      </c>
      <c r="L15" s="2"/>
      <c r="O15" s="31"/>
    </row>
    <row r="16" spans="1:15" x14ac:dyDescent="0.3">
      <c r="A16" s="6" t="s">
        <v>25</v>
      </c>
      <c r="B16" s="31">
        <v>3253</v>
      </c>
      <c r="C16" s="31">
        <v>4350</v>
      </c>
      <c r="D16" s="31">
        <v>12633</v>
      </c>
      <c r="F16" s="31">
        <v>76800</v>
      </c>
      <c r="G16" s="31">
        <v>1685500</v>
      </c>
      <c r="H16" s="31">
        <v>419340</v>
      </c>
      <c r="I16" s="31">
        <v>3336860</v>
      </c>
      <c r="J16" s="2"/>
      <c r="K16" s="93">
        <v>0</v>
      </c>
      <c r="L16" s="2"/>
      <c r="O16" s="31"/>
    </row>
    <row r="17" spans="1:15" x14ac:dyDescent="0.3">
      <c r="A17" s="6" t="s">
        <v>26</v>
      </c>
      <c r="B17" s="31">
        <v>2440</v>
      </c>
      <c r="C17" s="31">
        <v>3550</v>
      </c>
      <c r="D17" s="31">
        <v>9933</v>
      </c>
      <c r="F17" s="31">
        <v>41800</v>
      </c>
      <c r="G17" s="31">
        <v>1058900</v>
      </c>
      <c r="H17" s="31">
        <v>197160</v>
      </c>
      <c r="I17" s="31">
        <v>3570050</v>
      </c>
      <c r="J17" s="2"/>
      <c r="K17" s="93">
        <v>0.30331273675013126</v>
      </c>
      <c r="L17" s="2"/>
      <c r="O17" s="31"/>
    </row>
    <row r="18" spans="1:15" x14ac:dyDescent="0.3">
      <c r="A18" s="6" t="s">
        <v>32</v>
      </c>
      <c r="B18" s="31">
        <v>2427</v>
      </c>
      <c r="C18" s="31">
        <v>1900</v>
      </c>
      <c r="D18" s="31">
        <v>7000</v>
      </c>
      <c r="F18" s="31">
        <v>81400</v>
      </c>
      <c r="G18" s="31">
        <v>647700</v>
      </c>
      <c r="H18" s="31">
        <v>97080</v>
      </c>
      <c r="I18" s="31">
        <v>1981930</v>
      </c>
      <c r="J18" s="2"/>
      <c r="K18" s="93">
        <v>0</v>
      </c>
      <c r="L18" s="2"/>
      <c r="O18" s="31"/>
    </row>
    <row r="19" spans="1:15" x14ac:dyDescent="0.3">
      <c r="A19" s="6" t="s">
        <v>33</v>
      </c>
      <c r="B19" s="31">
        <v>1713</v>
      </c>
      <c r="C19" s="31">
        <v>1975</v>
      </c>
      <c r="D19" s="31">
        <v>6333</v>
      </c>
      <c r="F19" s="31">
        <v>14400</v>
      </c>
      <c r="G19" s="31">
        <v>402500</v>
      </c>
      <c r="H19" s="31">
        <v>60</v>
      </c>
      <c r="I19" s="31">
        <v>2284910</v>
      </c>
      <c r="J19" s="2"/>
      <c r="K19" s="93">
        <v>0.30750005400476321</v>
      </c>
      <c r="L19" s="2"/>
      <c r="O19" s="31"/>
    </row>
    <row r="20" spans="1:15" x14ac:dyDescent="0.3">
      <c r="A20" s="6" t="s">
        <v>37</v>
      </c>
      <c r="B20" s="31">
        <v>5073</v>
      </c>
      <c r="C20" s="31">
        <v>2975</v>
      </c>
      <c r="D20" s="31">
        <v>10933</v>
      </c>
      <c r="F20" s="31">
        <v>39800</v>
      </c>
      <c r="G20" s="31">
        <v>694600</v>
      </c>
      <c r="H20" s="31">
        <v>201480</v>
      </c>
      <c r="I20" s="31">
        <v>3338390</v>
      </c>
      <c r="J20" s="2"/>
      <c r="K20" s="93">
        <v>0</v>
      </c>
      <c r="L20" s="2"/>
      <c r="O20" s="31"/>
    </row>
    <row r="22" spans="1:15" x14ac:dyDescent="0.3">
      <c r="A22" s="6" t="s">
        <v>14</v>
      </c>
      <c r="B22" s="31">
        <f>SUMPRODUCT($K$14:$K$20,B14:B20)</f>
        <v>1313.626160628726</v>
      </c>
      <c r="C22" s="31">
        <f>SUMPRODUCT($K$14:$K$20,C14:C20)</f>
        <v>1737.8477749839872</v>
      </c>
      <c r="D22" s="31">
        <f>SUMPRODUCT($K$14:$K$20,D14:D20)</f>
        <v>5106.446058026715</v>
      </c>
      <c r="F22" s="31">
        <f>SUMPRODUCT($K$14:$K$20,F14:F20)</f>
        <v>17591.826594523773</v>
      </c>
      <c r="G22" s="31">
        <f>SUMPRODUCT($K$14:$K$20,G14:G20)</f>
        <v>465700</v>
      </c>
      <c r="H22" s="31">
        <f>SUMPRODUCT($K$14:$K$20,H14:H20)</f>
        <v>60720</v>
      </c>
      <c r="I22" s="31">
        <f>SUMPRODUCT($K$14:$K$20,I14:I20)</f>
        <v>1800250</v>
      </c>
      <c r="J22" s="31">
        <f>SUMPRODUCT($K$14:$K$20,J14:J20)</f>
        <v>0</v>
      </c>
      <c r="K22" s="2"/>
      <c r="L22" s="2"/>
    </row>
    <row r="23" spans="1:15" x14ac:dyDescent="0.3">
      <c r="B23" s="39" t="s">
        <v>16</v>
      </c>
      <c r="C23" s="39" t="s">
        <v>16</v>
      </c>
      <c r="D23" s="39" t="s">
        <v>16</v>
      </c>
      <c r="E23" s="39"/>
      <c r="F23" s="39" t="s">
        <v>6</v>
      </c>
      <c r="G23" s="39" t="s">
        <v>6</v>
      </c>
      <c r="H23" s="39" t="s">
        <v>6</v>
      </c>
      <c r="I23" s="39" t="s">
        <v>6</v>
      </c>
      <c r="J23" s="2"/>
      <c r="K23" s="2"/>
      <c r="L23" s="2"/>
    </row>
    <row r="24" spans="1:15" x14ac:dyDescent="0.3">
      <c r="A24" s="6" t="s">
        <v>30</v>
      </c>
      <c r="B24" s="59">
        <v>2720</v>
      </c>
      <c r="C24" s="59">
        <v>1875</v>
      </c>
      <c r="D24" s="59">
        <v>6800</v>
      </c>
      <c r="E24" s="59"/>
      <c r="F24" s="59">
        <v>10600</v>
      </c>
      <c r="G24" s="59">
        <v>465700</v>
      </c>
      <c r="H24" s="59">
        <v>60720</v>
      </c>
      <c r="I24" s="59">
        <v>1800250</v>
      </c>
      <c r="J24" s="12">
        <v>0.78211041685200178</v>
      </c>
      <c r="K24" s="79" t="str">
        <f t="shared" ref="K24" si="1">IF(J24=1, "Yes", "No")</f>
        <v>No</v>
      </c>
    </row>
  </sheetData>
  <mergeCells count="2">
    <mergeCell ref="B3:D3"/>
    <mergeCell ref="F3:I3"/>
  </mergeCells>
  <phoneticPr fontId="1" type="noConversion"/>
  <printOptions headings="1" gridLines="1"/>
  <pageMargins left="0.75" right="0.75" top="1" bottom="1" header="0.5" footer="0.5"/>
  <pageSetup scale="97" orientation="portrait" horizontalDpi="1200" verticalDpi="12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Efficiency of Coach stores</vt:lpstr>
      <vt:lpstr>Best Practice Benchmarking</vt:lpstr>
      <vt:lpstr>Sheet1</vt:lpstr>
      <vt:lpstr>Why some stores are Inefficient</vt:lpstr>
      <vt:lpstr>Focal_Firm</vt:lpstr>
      <vt:lpstr>Row_Focus</vt:lpstr>
      <vt:lpstr>Selected_store</vt:lpstr>
      <vt:lpstr>Selected_store_input_cost</vt:lpstr>
      <vt:lpstr>Selected_store_output_value</vt:lpstr>
      <vt:lpstr>Unit_costs_of_inputs</vt:lpstr>
      <vt:lpstr>Unit_prices_of_outputs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WAYNE WINSTON</dc:creator>
  <cp:lastModifiedBy>Xu, Luanluan</cp:lastModifiedBy>
  <cp:lastPrinted>2010-07-06T00:57:30Z</cp:lastPrinted>
  <dcterms:created xsi:type="dcterms:W3CDTF">1999-05-07T02:26:55Z</dcterms:created>
  <dcterms:modified xsi:type="dcterms:W3CDTF">2025-02-12T04:28:16Z</dcterms:modified>
</cp:coreProperties>
</file>